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RADE PROGRAMS" sheetId="2" r:id="rId5"/>
    <sheet state="visible" name="WHISLIST ITEM NEW PART" sheetId="3" r:id="rId6"/>
    <sheet state="visible" name="MasterItem 2W&amp;4W" sheetId="4" r:id="rId7"/>
    <sheet state="visible" name="PRICE" sheetId="5" r:id="rId8"/>
    <sheet state="visible" name="MSJ MasterItem 2W&amp;4W" sheetId="6" r:id="rId9"/>
    <sheet state="visible" name="MasterItem 2W" sheetId="7" r:id="rId10"/>
    <sheet state="visible" name="MasterItem 4W" sheetId="8" r:id="rId11"/>
    <sheet state="visible" name="SAP 4W" sheetId="9" r:id="rId12"/>
    <sheet state="visible" name="SAS 2W" sheetId="10" r:id="rId13"/>
  </sheets>
  <definedNames/>
  <calcPr/>
</workbook>
</file>

<file path=xl/sharedStrings.xml><?xml version="1.0" encoding="utf-8"?>
<sst xmlns="http://schemas.openxmlformats.org/spreadsheetml/2006/main" count="7766" uniqueCount="1143">
  <si>
    <t>No</t>
  </si>
  <si>
    <t>Subject</t>
  </si>
  <si>
    <t>Remark</t>
  </si>
  <si>
    <t>Update P/N untuk C0004, C0006 dan C0005</t>
  </si>
  <si>
    <t>Menggunakan Form Master Terpisah, tidak sama dengan distro lainnya</t>
  </si>
  <si>
    <t>Master Item 2W&amp;4W</t>
  </si>
  <si>
    <t>Update master part 2W dan 4W</t>
  </si>
  <si>
    <t>Master Item 2W</t>
  </si>
  <si>
    <t>Update master part 2W saja</t>
  </si>
  <si>
    <t>Master Item 4W</t>
  </si>
  <si>
    <t>Update master part 4W saja</t>
  </si>
  <si>
    <t>SAP 4W</t>
  </si>
  <si>
    <t>Update master part 4W khusus untuk SAP JAKARTA</t>
  </si>
  <si>
    <t>SAS 2W</t>
  </si>
  <si>
    <t>Update master part 2W khusus untuk SAS dan MARS JAKARTA</t>
  </si>
  <si>
    <t>Update P/N AB-8 2W nikel dan LTR5GP 4W GP PM</t>
  </si>
  <si>
    <t>update PN LMAR9E-J YL</t>
  </si>
  <si>
    <t>T5710/02</t>
  </si>
  <si>
    <t>QR produksi 1st half April</t>
  </si>
  <si>
    <t>T5999/02</t>
  </si>
  <si>
    <t>T6000/02</t>
  </si>
  <si>
    <t>LFR7AIX IX</t>
  </si>
  <si>
    <t>BKR6EQUP/20</t>
  </si>
  <si>
    <t>update SAP</t>
  </si>
  <si>
    <t xml:space="preserve"> SILFR6A11/07</t>
  </si>
  <si>
    <t>update GIMS 14/5</t>
  </si>
  <si>
    <t>SILZKFR8D7S/06</t>
  </si>
  <si>
    <t xml:space="preserve"> SILZKFR8E7S/05</t>
  </si>
  <si>
    <t>ITR6F13/07</t>
  </si>
  <si>
    <t>ILKAR7L11/04</t>
  </si>
  <si>
    <t>IFR6T11/04</t>
  </si>
  <si>
    <t>DCPR9EIX/01</t>
  </si>
  <si>
    <t>BKR7EIX-11/18</t>
  </si>
  <si>
    <t>LKR6AIX/01</t>
  </si>
  <si>
    <t>BKR5EGP/15</t>
  </si>
  <si>
    <t>DCPR7EGP/11</t>
  </si>
  <si>
    <t>BPR5EGP/20</t>
  </si>
  <si>
    <t>CR8EIX/19</t>
  </si>
  <si>
    <t>CR8EHIX-9/09</t>
  </si>
  <si>
    <t>CR7HIX/03</t>
  </si>
  <si>
    <t>CPR8EAIX-9/09</t>
  </si>
  <si>
    <t>CPR7EAIX-9/11</t>
  </si>
  <si>
    <t>BR9HIX/02</t>
  </si>
  <si>
    <t>BR9EIX/04</t>
  </si>
  <si>
    <t>BR8HIX/02</t>
  </si>
  <si>
    <t>BR8EIX/04</t>
  </si>
  <si>
    <t>DR8EGP/07</t>
  </si>
  <si>
    <t>ILZKAR8H8S/12</t>
  </si>
  <si>
    <t>update GIMS 1206</t>
  </si>
  <si>
    <t>MAR8B-JDS</t>
  </si>
  <si>
    <t>MAR8B-JDS/02</t>
  </si>
  <si>
    <t>Bandung 08/08/24</t>
  </si>
  <si>
    <t>TR55GP GP</t>
  </si>
  <si>
    <t>TR55GP/01</t>
  </si>
  <si>
    <t>CPR6EAGP-9/14 --&gt; CPR6EAGP-9 GPI-1</t>
  </si>
  <si>
    <t>CPR9EAGP-9/14 --&gt; CPR9EAGP-9 GPI-1</t>
  </si>
  <si>
    <t>CR8EGP/19 --&gt; CR8EGP GPI-1</t>
  </si>
  <si>
    <t>Update Price Amount</t>
  </si>
  <si>
    <t>IRIWAY MSJ ONLY</t>
  </si>
  <si>
    <t>IRIWAY7/03</t>
  </si>
  <si>
    <t>IRIWAY8/03</t>
  </si>
  <si>
    <t>IRIWAY9/03</t>
  </si>
  <si>
    <t>SILKAR7G8G/08</t>
  </si>
  <si>
    <t>PLKR7B8E/12</t>
  </si>
  <si>
    <t>ILTR6G8G/06</t>
  </si>
  <si>
    <t>B8EG/02</t>
  </si>
  <si>
    <t>B9EG/02</t>
  </si>
  <si>
    <t>B10EG/01</t>
  </si>
  <si>
    <t>ILZKBR7B8G/01</t>
  </si>
  <si>
    <t>ILZNAR8A7G/07</t>
  </si>
  <si>
    <t>DILZKAR7C11S/08</t>
  </si>
  <si>
    <t>LMAR9D-J/10</t>
  </si>
  <si>
    <t>2W Ni</t>
  </si>
  <si>
    <t>PFR8S8EG/03</t>
  </si>
  <si>
    <t>4W PM</t>
  </si>
  <si>
    <t>SILTR6A7G/03</t>
  </si>
  <si>
    <t>DILKAR8P8SY/17</t>
  </si>
  <si>
    <t>CPR6EA-9S/25</t>
  </si>
  <si>
    <t>LKR8HI-8/06</t>
  </si>
  <si>
    <t>BKR7EIX/02</t>
  </si>
  <si>
    <t>LMAR8AI-10/04</t>
  </si>
  <si>
    <t>LMAR8AI-8/07</t>
  </si>
  <si>
    <t>Niterra Trade Program Summary</t>
  </si>
  <si>
    <t>Product/Vehicle</t>
  </si>
  <si>
    <t>Nama Program</t>
  </si>
  <si>
    <t>Mekanisme Program</t>
  </si>
  <si>
    <t>Commission</t>
  </si>
  <si>
    <t>Mekanisme Klaim</t>
  </si>
  <si>
    <t>Periode</t>
  </si>
  <si>
    <t>NGK
 2W &amp; 4W</t>
  </si>
  <si>
    <t>SPARTA Commitment
 All Nickel exclude DCPR7EA9</t>
  </si>
  <si>
    <t>Distributor mengisi form komitmen SPARTA Commitment Program</t>
  </si>
  <si>
    <t>Distributor dan Pelanggan bebas menentukan komisi selama masih dalam batasan: Voucher Belanja, Elektronik, Furniture, Kebutuhan Pokok, Tour</t>
  </si>
  <si>
    <t>Pelanggan mengisi form keikutsertaan SPARTA Commitment Program dan bebas untuk menentukan komisi,</t>
  </si>
  <si>
    <t>Januari - Maret 2025</t>
  </si>
  <si>
    <t>Distributors and Customers are free to determine commission as long as it is within the limits: Shopping Vouchers, Electronics, Furniture, Basic Necessities, Tours</t>
  </si>
  <si>
    <t>April - December 2025</t>
  </si>
  <si>
    <t>Distributor membuat proposal atas program SPARTA Commitment periode Jan-Mar 2025 dengan mekanisme yang ditentukan oleh Distributor.</t>
  </si>
  <si>
    <t>Metode pembelian komisi dengan cara
 - Distributor membeli komisi sendiri
 - Distributor membeli lewat Niterra</t>
  </si>
  <si>
    <t>Distributor membuat proposal atas program SPARTA Commitment periode Apr - Dec 2025 dengan mekanisme yang ditentukan oleh Distributor.</t>
  </si>
  <si>
    <t>Niterra memberikan dukungan program berdasarkan kuantitas PO dari Distributor ke Niterra selama periode program yang dihitung berdasarkan pencapaian baik dari Target Kuantitas ataupun Nominal,</t>
  </si>
  <si>
    <t>Distributor wajib memahami kebijakan Laporan dan Evaluasi pada Official Letter,</t>
  </si>
  <si>
    <t>Niterra akan memberikan komisi untuk Total PO Jan - Mar 2025 (IDR/pcs)</t>
  </si>
  <si>
    <t>Niterra akan melakukan proses pembayaran dan pembelian apabila semua dokumen lengkap,</t>
  </si>
  <si>
    <t>Niterra akan memberikan komisi untuk Total PO Apr - Dec 2025 (IDR/pcs)</t>
  </si>
  <si>
    <t>105% : C7 &amp; 4W Ni 1,100 | Other 2W Ni 800</t>
  </si>
  <si>
    <t>Distributor diharuskan mengirimkan perhitungan komisi, melakukan klaim atas program, maksimum 3 bulan setelah periode program berakhir. Apabila melebihi batas waktu, distributor tidak berhak atas klaim komisi.</t>
  </si>
  <si>
    <t>105% : IDR 600</t>
  </si>
  <si>
    <t>100% - 104% : C7 &amp; 4W Ni 1,000 | Other 2W Ni 700</t>
  </si>
  <si>
    <t>100% - 104% : IDR 500</t>
  </si>
  <si>
    <t>95% - 99%: C7 &amp; 4W Ni 700 | Other 2W Ni 600</t>
  </si>
  <si>
    <t>95% - 99%: IDR 400</t>
  </si>
  <si>
    <t>85% - 94% : C7 &amp; 4W Ni 500 | Other 2W Ni 500</t>
  </si>
  <si>
    <t>85% - 94% : IDR 300</t>
  </si>
  <si>
    <t>Distributor tidak berhak atas komisi apabila tidak membuka PO pada bulan tertentu selama periode program. Apabila distributor tidak membuka PO kepada Niterra, maka biaya komisi untuk pelanggan menjadi beban distributor,</t>
  </si>
  <si>
    <t>Mekanisme pembelian dan jenis dokumen yang harus dilengkapi terlampir pada Official Letter,</t>
  </si>
  <si>
    <t>Precious Metal Program
 (exclude LKAR6AGP)</t>
  </si>
  <si>
    <t>Program diberikan kepada Distributor yang membuka PO Busi Precious Metal MINIMAL 85% dari target bulanan Kuantitas pada bulan Januari - Maret 2025,</t>
  </si>
  <si>
    <t>Voucher Belanja @ Rp. 25,000 setiap 1 paket.</t>
  </si>
  <si>
    <t>Niterra akan menghitung komisi voucher belanja berdasarkan paket &amp; kebijakan program.</t>
  </si>
  <si>
    <t>Paket program adalah sebagai berikut: (berlaku kelipatan)</t>
  </si>
  <si>
    <t>Distributor menyerahkan laporan penjualan atas program ini untuk setiap pelanggan</t>
  </si>
  <si>
    <t>- 20 pcs G-Power Type</t>
  </si>
  <si>
    <t>- 12 pcs IX, PL, IL Type</t>
  </si>
  <si>
    <t>NGK
 4W</t>
  </si>
  <si>
    <t>4W Focus Program
 DCPR7EA-9 &amp; LKAR6AGP</t>
  </si>
  <si>
    <t>Program diberikan kepada Distributor yang membuka PO DCPR7EA-9 dan LKAR6AGP pada bulan Juli - Sep 2024,</t>
  </si>
  <si>
    <t>Distributor harus membuka PO minimal 85% dari target bulanan Kuantitas untuk mengikuti program ini,</t>
  </si>
  <si>
    <t>- 20 pcs DCPR7EA-9 YL / DCPR7EA-9 TY</t>
  </si>
  <si>
    <t>- 20 pcs LKAR6AGP</t>
  </si>
  <si>
    <t>NGK 2W &amp; 4W</t>
  </si>
  <si>
    <t>Sparktacular Program
 2W &amp; 4W
 *selected distro*</t>
  </si>
  <si>
    <t>Niterra hanya memberikan program dukungan ini kepada distributor dan toko tertentu.</t>
  </si>
  <si>
    <t>Distributor dan Pelanggan bebas menentukan komisi.</t>
  </si>
  <si>
    <t>Pelanggan mengisi dan menandatangani (disertai cap toko) form keikutsertaan program dan bebas untuk menentukan komisi,</t>
  </si>
  <si>
    <t>Niterra bersama Distributor berhak menentukan toko yang terpilih untuk mengikuti program ini.</t>
  </si>
  <si>
    <t>Distributor wajib mengkontrak toko selama 3 bulan dengan mengisi formulir kontrak program (Lampiran I – terlampir). Dikirimkan kembali ke Niterra paling lambat 10 Januari 2025.</t>
  </si>
  <si>
    <t>Dukungan komisi/pcs berdasarkan pembelian toko ke distributor terhadap target bulanan toko dengan kriteria sebagai berikut:
 100% : Rp 400 / pcs
 85% - 99% : Rp 300 / pcs
 70% - 84% : Rp 150 /pcs
 Di mana target toko adalah target Program Spark-tacular Januari - Maret 2025 yang telah disepakati pihak Niterra dan distributor (Lampiran I – terlampir).</t>
  </si>
  <si>
    <t>Distributor diharuskan mengirimkan perhitungan komisi, melakukan klaim atas program, maksimum 3 bulan setelah periode program berakhir. Apabila melebihi batas waktu, distributor tidak berhak atas klaim komisi</t>
  </si>
  <si>
    <t>Distributor wajib memberitahukan kepada Niterra dengan mengisi dan menyerahkan formulir Proposal Program (Lampiran II – terlampir). Dikirimkan kembali ke Niterra paling lambat 10 Januari 2025.</t>
  </si>
  <si>
    <t>Jika toko peserta program tidak melakukan pembelian pada bulan tertentu, toko tersebut tidak menerima komisi dari program dukungan ini pada bulan tersebut.</t>
  </si>
  <si>
    <t>DID</t>
  </si>
  <si>
    <t>DID Silent Chain
 Special Promo</t>
  </si>
  <si>
    <t>Program diberikan kepada Distributor yang membuka PO DID untuk produk Silent Chain.</t>
  </si>
  <si>
    <t>Januari - Desember 2025</t>
  </si>
  <si>
    <t>Paket program berlaku untuk sertiap pembelian 10 pcs DID Silent Chain (berlaku kelipatan)</t>
  </si>
  <si>
    <t>Distributor menyerahkan laporan penjualan DID atas program ini untuk setiap pelanggan</t>
  </si>
  <si>
    <t>DID Incentive Salesman</t>
  </si>
  <si>
    <t>Program diperuntukkan bagi semua pelanggan Distributor kecuali pelanggan yang mengikuti program kontrak dari acara Cust. Gathering / Technical Workshop.</t>
  </si>
  <si>
    <t>Voucher Belanja
 @ Rp. 25,000</t>
  </si>
  <si>
    <t>Distributor harus mengirimkan laporan program penjualan dari setiap toko pada periode program berjalan setiap bulannya.</t>
  </si>
  <si>
    <t>Program dikalkulasikan berdasarkan jumlah pengambilan toko ke Distributor, tanpa minimum pengambilan.</t>
  </si>
  <si>
    <t>komisi diberikan sesuai pencapaian berikut:</t>
  </si>
  <si>
    <t>25 pcs Chain Kit, atau</t>
  </si>
  <si>
    <t>25 pcs Single Drive Chain Standard, atau</t>
  </si>
  <si>
    <t>50 pcs Silent Chain, atau</t>
  </si>
  <si>
    <t>komisi berupa voucher belanja akan diberikan setiap periode 3 bulan.</t>
  </si>
  <si>
    <t>Flush Out Beta Program</t>
  </si>
  <si>
    <t>Dukungan Program hanya diberikan kepada distributor yang berkomitmen mencapai target minimum PO 95% secara Kuantitas ataupun Nominal pada Jan - Mar 2025 sesuai kriteria pencapaian.</t>
  </si>
  <si>
    <t>Distributor dapat memilih jenis komisi apapun yang dapat memenuhi kebutuhan pelanggan.</t>
  </si>
  <si>
    <t>Distributor dapat menentukan periode program (3 bulan, 6 bulan, dan 9 bulan) dan harus melakukan claim maksmimal 3 bulan setelah periode program yang dipilih berakhir.</t>
  </si>
  <si>
    <t>Batas pemberian komisi untuk program ini adalah 105% target secara Kuantitas atau Nominal.
 Niterra akan memberikan komisi untuk Total PO Jan - Mar 2025 (IDR/pcs)</t>
  </si>
  <si>
    <t>2W Ni: IDR 900
 4W Ni: IDR 1,200</t>
  </si>
  <si>
    <t>Distributor harus mencapai target minimum PO 85% untuk Q2, Q3, dan Q4 2025 dengan akumulasi pencapaian 3 kuarter tersebut sebesar 280% terhadap target kuantitas atau nominal.</t>
  </si>
  <si>
    <t>Jika waktu klaim melebihi batas waktu yang telah ditentukan, maka distributor tidak bisa melakukan klaim.</t>
  </si>
  <si>
    <t>Jika akumulasi Q2, Q3, dan Q4 tidak memenuhi poin diatas, maka distributor tidak berhak atas komisi di kuarter berjalan (kuarter yang tidak capai). Namun atas kuarter yang capai tetap mendapat komisi.</t>
  </si>
  <si>
    <t>Distributor diharuskan memilih pemasok yang sudah PKP dan dapat melampirkan faktur pajak.
 Mekanisme pembelian dan jenis dokumen yang harus dilengkapi terlampir pada Official Letter.</t>
  </si>
  <si>
    <t>Komisi yang akan diberikan oleh Niterra pada periode Apr - Dec 2025 sebagai berikut: (IDR/pcs)
 *berdasarkan pencapaian PO Jan - Mar 2025*</t>
  </si>
  <si>
    <t>105% : 2W Ni IDR 315 | 4W Ni IDR 420</t>
  </si>
  <si>
    <t>100% - 104% : 2W Ni IDR 300 | 4W Ni IDR 400</t>
  </si>
  <si>
    <t>95% - 100% : 2W Ni IDR 285 | 4W Ni IDR 380</t>
  </si>
  <si>
    <t>Tanggal Request</t>
  </si>
  <si>
    <t>Distributor</t>
  </si>
  <si>
    <t>Part Number Request</t>
  </si>
  <si>
    <t>VehicleID</t>
  </si>
  <si>
    <t>S/P type</t>
  </si>
  <si>
    <t>ITEMID</t>
  </si>
  <si>
    <t>Status</t>
  </si>
  <si>
    <t>SAP - Jakarta</t>
  </si>
  <si>
    <t>SILZKFR8D7S-11</t>
  </si>
  <si>
    <t>4W</t>
  </si>
  <si>
    <t>IL</t>
  </si>
  <si>
    <t>PRODUCT NAME</t>
  </si>
  <si>
    <t>PM category QTR</t>
  </si>
  <si>
    <t>PRICE</t>
  </si>
  <si>
    <t>AB-8 YL</t>
  </si>
  <si>
    <t>YL</t>
  </si>
  <si>
    <t>AB-8/01</t>
  </si>
  <si>
    <t>B6HS YL</t>
  </si>
  <si>
    <t>B6HS/86</t>
  </si>
  <si>
    <t>B7HS-10 YL</t>
  </si>
  <si>
    <t>B7HS-10/50</t>
  </si>
  <si>
    <t>B7HS YL</t>
  </si>
  <si>
    <t>B7HS/86</t>
  </si>
  <si>
    <t>B8ES YL</t>
  </si>
  <si>
    <t>B8ES/61</t>
  </si>
  <si>
    <t>B8HS-10 YL</t>
  </si>
  <si>
    <t>B8HS-10/48</t>
  </si>
  <si>
    <t>B8HS YL</t>
  </si>
  <si>
    <t>B8HS/70</t>
  </si>
  <si>
    <t>B9ECS YL</t>
  </si>
  <si>
    <t>B9ECS/16</t>
  </si>
  <si>
    <t>B9ECS YL-1</t>
  </si>
  <si>
    <t>B9ECS/01</t>
  </si>
  <si>
    <t>B9ES YL</t>
  </si>
  <si>
    <t>B9ES/44</t>
  </si>
  <si>
    <t>BM6A YL</t>
  </si>
  <si>
    <t>BM6A/72</t>
  </si>
  <si>
    <t>BP4HS YL</t>
  </si>
  <si>
    <t>BP4HS/50</t>
  </si>
  <si>
    <t>BP6HS YL</t>
  </si>
  <si>
    <t>BP6HS/89</t>
  </si>
  <si>
    <t>BP7H HG</t>
  </si>
  <si>
    <t>BP7H/01</t>
  </si>
  <si>
    <t>BP7HS-10 YL</t>
  </si>
  <si>
    <t>BP7HS-10/20</t>
  </si>
  <si>
    <t>BP7HS YL</t>
  </si>
  <si>
    <t>BP7HS/60</t>
  </si>
  <si>
    <t>BP8ES YL</t>
  </si>
  <si>
    <t>BP8ES/43</t>
  </si>
  <si>
    <t>BP8HS-10 YL</t>
  </si>
  <si>
    <t>BP8HS-10/11</t>
  </si>
  <si>
    <t>BP8HS YL</t>
  </si>
  <si>
    <t>BP8HS/24</t>
  </si>
  <si>
    <t>BPM6A YL</t>
  </si>
  <si>
    <t>BPM6A/35</t>
  </si>
  <si>
    <t>BPMR7A YL</t>
  </si>
  <si>
    <t>BPMR7A/50</t>
  </si>
  <si>
    <t>BPR8HS-10 YL</t>
  </si>
  <si>
    <t>BPR8HS-10/04</t>
  </si>
  <si>
    <t>BR7ES YL</t>
  </si>
  <si>
    <t>BR7ES/58</t>
  </si>
  <si>
    <t>BR8ES YL</t>
  </si>
  <si>
    <t>BR8ES/A6</t>
  </si>
  <si>
    <t>C6HSA YL</t>
  </si>
  <si>
    <t>C6HSA/71</t>
  </si>
  <si>
    <t>C6HSA HG</t>
  </si>
  <si>
    <t>C6HSA/76</t>
  </si>
  <si>
    <t>C6HSA YL SBS</t>
  </si>
  <si>
    <t>C6HSA/93</t>
  </si>
  <si>
    <t>C7HSA YL QR</t>
  </si>
  <si>
    <t>C7HSA/96</t>
  </si>
  <si>
    <t>CMR5H YL</t>
  </si>
  <si>
    <t>CMR5H/19</t>
  </si>
  <si>
    <t>CMR6A YL</t>
  </si>
  <si>
    <t>CMR6A/13</t>
  </si>
  <si>
    <t>CMR7H YL</t>
  </si>
  <si>
    <t>CMR7H/10</t>
  </si>
  <si>
    <t>CPR6EA-9 YL QR</t>
  </si>
  <si>
    <t>CPR6EA-9/64</t>
  </si>
  <si>
    <t>CPR6EA-9S YL</t>
  </si>
  <si>
    <t>CPR7EA-9 YL</t>
  </si>
  <si>
    <t>CPR7EA-9/46</t>
  </si>
  <si>
    <t>CPR8EA-9 YL QR</t>
  </si>
  <si>
    <t>CPR8EA-9/B2</t>
  </si>
  <si>
    <t>CPR9EA- 9 YL QR</t>
  </si>
  <si>
    <t>CPR9EA-9/26</t>
  </si>
  <si>
    <t>CR10EK YL</t>
  </si>
  <si>
    <t>CR10EK/18</t>
  </si>
  <si>
    <t>CR10EK YL-1</t>
  </si>
  <si>
    <t>CR10EK/14</t>
  </si>
  <si>
    <t>CR6HSA YL</t>
  </si>
  <si>
    <t>CR6HSA/73</t>
  </si>
  <si>
    <t>CR7E YL</t>
  </si>
  <si>
    <t>CR7E/51</t>
  </si>
  <si>
    <t>CR7EB YL</t>
  </si>
  <si>
    <t>CR7EB/15</t>
  </si>
  <si>
    <t>CR7EH-9 YL</t>
  </si>
  <si>
    <t>CR7EH-9/20</t>
  </si>
  <si>
    <t>CR7HSA YL</t>
  </si>
  <si>
    <t>CR7HSA/55</t>
  </si>
  <si>
    <t>CR8E YL QR</t>
  </si>
  <si>
    <t>CR8E/D1</t>
  </si>
  <si>
    <t>CR8EK YL</t>
  </si>
  <si>
    <t>CR8EK/30</t>
  </si>
  <si>
    <t>CR8EB YL</t>
  </si>
  <si>
    <t>CR8EB/24</t>
  </si>
  <si>
    <t>CR8EH-9 YL</t>
  </si>
  <si>
    <t>CR8EH-9/30</t>
  </si>
  <si>
    <t>CR9EH-9 YL</t>
  </si>
  <si>
    <t>CR9EH-9/26</t>
  </si>
  <si>
    <t>CR9E YL</t>
  </si>
  <si>
    <t>CR9E/54</t>
  </si>
  <si>
    <t>CR9EK YL</t>
  </si>
  <si>
    <t>CR9EK/43</t>
  </si>
  <si>
    <t>D6HS YL</t>
  </si>
  <si>
    <t>D6HS/08</t>
  </si>
  <si>
    <t>D8EA YL</t>
  </si>
  <si>
    <t>D8EA/60</t>
  </si>
  <si>
    <t>DP8EA-9 YL</t>
  </si>
  <si>
    <t>DP8EA-9/23</t>
  </si>
  <si>
    <t>LMAR8A-9 YL</t>
  </si>
  <si>
    <t>LMAR8A-9/24</t>
  </si>
  <si>
    <t>LMAR8A-9 YL-1</t>
  </si>
  <si>
    <t>LMAR8A-9/26</t>
  </si>
  <si>
    <t>LMAR8J-9E YL</t>
  </si>
  <si>
    <t>LMAR8J-9E/04</t>
  </si>
  <si>
    <t>LMAR8L-9 YL</t>
  </si>
  <si>
    <t>LMAR8L-9/16</t>
  </si>
  <si>
    <t>LMAR9E-J JP</t>
  </si>
  <si>
    <t>LMAR9E-J/09</t>
  </si>
  <si>
    <t>LMAR9G</t>
  </si>
  <si>
    <t>LMAR9G/02</t>
  </si>
  <si>
    <t>LMAR9G YL</t>
  </si>
  <si>
    <t>LMAR9G/07</t>
  </si>
  <si>
    <t>LMAR9D-J YL</t>
  </si>
  <si>
    <t>LMDR10A-JS YL</t>
  </si>
  <si>
    <t>LMDR10A-JS/03</t>
  </si>
  <si>
    <t>MAR9A-J YL</t>
  </si>
  <si>
    <t>MAR9A-J/10</t>
  </si>
  <si>
    <t>MR8E-9 YL</t>
  </si>
  <si>
    <t>MR8E-9/10</t>
  </si>
  <si>
    <t>MR8K-9 YL</t>
  </si>
  <si>
    <t>MR8K-9/12</t>
  </si>
  <si>
    <t>Ni</t>
  </si>
  <si>
    <t>MR9C-9N YL</t>
  </si>
  <si>
    <t>MR9C-9N/09</t>
  </si>
  <si>
    <t>T5710 HG</t>
  </si>
  <si>
    <t>T5710/01</t>
  </si>
  <si>
    <t>T5999 HG</t>
  </si>
  <si>
    <t>T5999/01</t>
  </si>
  <si>
    <t>T6000 HG</t>
  </si>
  <si>
    <t>T6000/01</t>
  </si>
  <si>
    <t>T5710 YL QR</t>
  </si>
  <si>
    <t>T5999 YL QR</t>
  </si>
  <si>
    <t>T6000 YL QR</t>
  </si>
  <si>
    <t>MAR10A-J YL</t>
  </si>
  <si>
    <t>MAR10A-J/07</t>
  </si>
  <si>
    <t>B8EG</t>
  </si>
  <si>
    <t>2W PM</t>
  </si>
  <si>
    <t>RACING</t>
  </si>
  <si>
    <t>B9EG</t>
  </si>
  <si>
    <t>B10EG</t>
  </si>
  <si>
    <t>BPR7EIX IX</t>
  </si>
  <si>
    <t>IX</t>
  </si>
  <si>
    <t>BPR7EIX/12</t>
  </si>
  <si>
    <t>BPR7HGP GP</t>
  </si>
  <si>
    <t>GP</t>
  </si>
  <si>
    <t>BPR7HGP/05</t>
  </si>
  <si>
    <t>BPR7HGP GP-1</t>
  </si>
  <si>
    <t>BPR7HGP/14</t>
  </si>
  <si>
    <t>BPR7HIX IX</t>
  </si>
  <si>
    <t>BPR7HIX/08</t>
  </si>
  <si>
    <t>BPR8EIX IX</t>
  </si>
  <si>
    <t>BPR8EIX/09</t>
  </si>
  <si>
    <t>BPR8HIX</t>
  </si>
  <si>
    <t>BPR8HIX/05</t>
  </si>
  <si>
    <t>BPR8HIX IX</t>
  </si>
  <si>
    <t>BPR8HIX/06</t>
  </si>
  <si>
    <t>BPR8HIX IX-1</t>
  </si>
  <si>
    <t>BPR8HIX/02</t>
  </si>
  <si>
    <t>BPR9EIX IX</t>
  </si>
  <si>
    <t>BPR9EIX/10</t>
  </si>
  <si>
    <t>BR7HGP GP</t>
  </si>
  <si>
    <t>BR7HGP/03</t>
  </si>
  <si>
    <t>BR7HGP GP-1</t>
  </si>
  <si>
    <t>BR7HGP/04</t>
  </si>
  <si>
    <t>BR7HIX IX</t>
  </si>
  <si>
    <t>BR7HIX/06</t>
  </si>
  <si>
    <t>BR8EGP GP</t>
  </si>
  <si>
    <t>BR8EGP/05</t>
  </si>
  <si>
    <t>BR8EGP GP-1</t>
  </si>
  <si>
    <t>BR8EGP/08</t>
  </si>
  <si>
    <t>BR8EIX IX</t>
  </si>
  <si>
    <t>BR8HIX IX</t>
  </si>
  <si>
    <t>BR9ES YL</t>
  </si>
  <si>
    <t>BR9ES/88</t>
  </si>
  <si>
    <t>BR9EIX IX</t>
  </si>
  <si>
    <t>BR9HIX IX</t>
  </si>
  <si>
    <t>CPR6EAGP-9 GPI</t>
  </si>
  <si>
    <t>CPR6EAGP-9/13</t>
  </si>
  <si>
    <t>CPR6EAGP-9 GPI-1</t>
  </si>
  <si>
    <t>CPR6EAGP-9/14</t>
  </si>
  <si>
    <t>CPR6EAIX-9S IX</t>
  </si>
  <si>
    <t>CPR6EAIX-9S/04</t>
  </si>
  <si>
    <t>CPR7EAGP-9 GP</t>
  </si>
  <si>
    <t>CPR7EAGP-9/04</t>
  </si>
  <si>
    <t>CPR7EAGP-9 GP-1</t>
  </si>
  <si>
    <t>CPR7EAGP-9/02</t>
  </si>
  <si>
    <t>CPR7EAIX-9 IX</t>
  </si>
  <si>
    <t>CPR8EAGP-9 GPI</t>
  </si>
  <si>
    <t>CPR8EAGP-9/14</t>
  </si>
  <si>
    <t>CPR8EAGP-9 GPI-1</t>
  </si>
  <si>
    <t>CPR8EAGP-9/15</t>
  </si>
  <si>
    <t>CPR8EAIX-9 IX</t>
  </si>
  <si>
    <t>CPR8EDX-9S IL</t>
  </si>
  <si>
    <t>CPR8EDX-9S/01</t>
  </si>
  <si>
    <t>CPR9EAGP-9 GP</t>
  </si>
  <si>
    <t>CPR9EAGP-9/03</t>
  </si>
  <si>
    <t>CPR9EAGP-9 GP-1</t>
  </si>
  <si>
    <t>CPR9EAGP-9/04</t>
  </si>
  <si>
    <t>CPR9EAIX-9 IX</t>
  </si>
  <si>
    <t>CPR9EAIX-9/03</t>
  </si>
  <si>
    <t>CPR9EAIX-9 IX-1</t>
  </si>
  <si>
    <t>CPR9EAIX-9/05</t>
  </si>
  <si>
    <t>CPR9EDX-9S IL</t>
  </si>
  <si>
    <t>CPR9EDX-9S/02</t>
  </si>
  <si>
    <t>CR6HGP GP</t>
  </si>
  <si>
    <t>CR6HGP/08</t>
  </si>
  <si>
    <t>CR6HIX IX</t>
  </si>
  <si>
    <t>CR6HIX/08</t>
  </si>
  <si>
    <t>CR6HIX IX-1</t>
  </si>
  <si>
    <t>CR6HIX/03</t>
  </si>
  <si>
    <t>CR7EGP GP</t>
  </si>
  <si>
    <t>CR7EGP/04</t>
  </si>
  <si>
    <t>CR7EIX IX</t>
  </si>
  <si>
    <t>CR7EIX/08</t>
  </si>
  <si>
    <t>CR7EIX IX-1</t>
  </si>
  <si>
    <t>CR7EIX/13</t>
  </si>
  <si>
    <t>CR7HGP GPI</t>
  </si>
  <si>
    <t>CR7HGP/17</t>
  </si>
  <si>
    <t>CR7HGP GPI-1</t>
  </si>
  <si>
    <t>CR7HGP/19</t>
  </si>
  <si>
    <t>CR7HIX IX</t>
  </si>
  <si>
    <t>CR8EDX-S IL</t>
  </si>
  <si>
    <t>CR8EDX-S/01</t>
  </si>
  <si>
    <t>CR8EGP GPI</t>
  </si>
  <si>
    <t>CR8EGP/17</t>
  </si>
  <si>
    <t>CR8EGP GPI-1</t>
  </si>
  <si>
    <t>CR8EGP/19</t>
  </si>
  <si>
    <t>CR8EHIX-9 IX</t>
  </si>
  <si>
    <t>CR8EIX IX</t>
  </si>
  <si>
    <t>CR8HIX IX</t>
  </si>
  <si>
    <t>CR8HIX/07</t>
  </si>
  <si>
    <t>CR9EDX-S IL</t>
  </si>
  <si>
    <t>CR9EDX-S/01</t>
  </si>
  <si>
    <t>CR9EHIX-9 IX</t>
  </si>
  <si>
    <t>CR9EHIX-9/10</t>
  </si>
  <si>
    <t>CR9EIA-9 IL</t>
  </si>
  <si>
    <t>CR9EIA-9/19</t>
  </si>
  <si>
    <t>CR9EIX IX</t>
  </si>
  <si>
    <t>CR9EIX/14</t>
  </si>
  <si>
    <t>CR9HIX IX</t>
  </si>
  <si>
    <t>CR9HIX/05</t>
  </si>
  <si>
    <t>DPR8EGP-9 GP</t>
  </si>
  <si>
    <t>DPR8EGP-9/04</t>
  </si>
  <si>
    <t>DPR8EIX-9 IX</t>
  </si>
  <si>
    <t>DPR8EIX-9/14</t>
  </si>
  <si>
    <t>DPR8EIX-9/05</t>
  </si>
  <si>
    <t>DR8EGP GP</t>
  </si>
  <si>
    <t>DR8EIX IX</t>
  </si>
  <si>
    <t>DR8EIX/10</t>
  </si>
  <si>
    <t>IFR7F-4D IL</t>
  </si>
  <si>
    <t>IFR7F-4D/14</t>
  </si>
  <si>
    <t>IMR9C-9H IL</t>
  </si>
  <si>
    <t>IMR9C-9H/04</t>
  </si>
  <si>
    <t>IMR9E-9HES IL</t>
  </si>
  <si>
    <t>IMR9E-9HES/02</t>
  </si>
  <si>
    <t>LKAR8AI-9 IL</t>
  </si>
  <si>
    <t>LKAR8AI-9/01</t>
  </si>
  <si>
    <t>LKAR9BI-10 IL</t>
  </si>
  <si>
    <t>LKAR9BI-10/06</t>
  </si>
  <si>
    <t>LKAR9BI-9 IL</t>
  </si>
  <si>
    <t>LKAR9BI9/03</t>
  </si>
  <si>
    <t>LMAR8ADX-9S IL</t>
  </si>
  <si>
    <t>LMAR8ADX-9S/01</t>
  </si>
  <si>
    <t>LMAR8AI-10 IL</t>
  </si>
  <si>
    <t>LMAR8AI-8 IL</t>
  </si>
  <si>
    <t>LMAR8BI-9 IL</t>
  </si>
  <si>
    <t>LMAR8BI-9/05</t>
  </si>
  <si>
    <t>LMAR8BI-9/06</t>
  </si>
  <si>
    <t>LMAR9AI-10 IL</t>
  </si>
  <si>
    <t>LMAR9AI-10/04</t>
  </si>
  <si>
    <t>LMAR9AI-8 IL</t>
  </si>
  <si>
    <t>LMAR9AI-8/07</t>
  </si>
  <si>
    <t>LMAR9J-9E IL</t>
  </si>
  <si>
    <t>LMAR9J-9E/03</t>
  </si>
  <si>
    <t>R0045Q-10 R</t>
  </si>
  <si>
    <t>R0045Q-10/01</t>
  </si>
  <si>
    <t>R0373A-10 R</t>
  </si>
  <si>
    <t>R0373A-10/02</t>
  </si>
  <si>
    <t>R0373A-11 R</t>
  </si>
  <si>
    <t>R0373A-11/01</t>
  </si>
  <si>
    <t>R0373A-9 R</t>
  </si>
  <si>
    <t>R0373A-9/01</t>
  </si>
  <si>
    <t>R0451B-9 R</t>
  </si>
  <si>
    <t>R0451B-9/03</t>
  </si>
  <si>
    <t>R0451C-10 R</t>
  </si>
  <si>
    <t>R0451C-10/02</t>
  </si>
  <si>
    <t>R7376-8 R</t>
  </si>
  <si>
    <t>R7376-8/01</t>
  </si>
  <si>
    <t>R7376-9 R</t>
  </si>
  <si>
    <t>R7376-9/01</t>
  </si>
  <si>
    <t>SILMAR10C-9S IL</t>
  </si>
  <si>
    <t>SILMAR10C9S/03</t>
  </si>
  <si>
    <t>SILMAR8C-9 IL</t>
  </si>
  <si>
    <t>SILMAR8C9/10</t>
  </si>
  <si>
    <t>SILMAR9A9S IL</t>
  </si>
  <si>
    <t>SILMAR9A9S/04</t>
  </si>
  <si>
    <t>SILMAR9B9 IL</t>
  </si>
  <si>
    <t>SILMAR9B9/07</t>
  </si>
  <si>
    <t>SILMAR9C-9 IL</t>
  </si>
  <si>
    <t>SILMAR9C9/06</t>
  </si>
  <si>
    <t>SILMAR9C-9 IL-1</t>
  </si>
  <si>
    <t>SILMAR9C9/02</t>
  </si>
  <si>
    <t>SIMR8A-9 IL</t>
  </si>
  <si>
    <t>SIMR8A9/14</t>
  </si>
  <si>
    <t>ZGR7GI-13G IL</t>
  </si>
  <si>
    <t>ZGR7GI-13G/03</t>
  </si>
  <si>
    <t>R0459A-10 R</t>
  </si>
  <si>
    <t>R0459A-10/01</t>
  </si>
  <si>
    <t>R2525-9 R</t>
  </si>
  <si>
    <t>R2525-9/01</t>
  </si>
  <si>
    <t>BCPR5E-11 YL</t>
  </si>
  <si>
    <t>4W Ni</t>
  </si>
  <si>
    <t>BCPR5E-11/16</t>
  </si>
  <si>
    <t>BCPR6E-11 YL</t>
  </si>
  <si>
    <t>BCPR6E-11/31</t>
  </si>
  <si>
    <t>BE529Y-11 YL</t>
  </si>
  <si>
    <t>BE529Y-11/09</t>
  </si>
  <si>
    <t>BE529Y-11 YL-1</t>
  </si>
  <si>
    <t>BE529Y-11/02</t>
  </si>
  <si>
    <t>BK5E YL</t>
  </si>
  <si>
    <t>BK5E/20</t>
  </si>
  <si>
    <t>BK6E YL</t>
  </si>
  <si>
    <t>BK6E/31</t>
  </si>
  <si>
    <t>BKR5E-11 TY</t>
  </si>
  <si>
    <t>BKR5E-11/D3</t>
  </si>
  <si>
    <t>BKR5E-11 YL</t>
  </si>
  <si>
    <t>BKR5E-11/D4</t>
  </si>
  <si>
    <t>BKR5E YL</t>
  </si>
  <si>
    <t>BKR5E/96</t>
  </si>
  <si>
    <t>BKR6E-11 TY</t>
  </si>
  <si>
    <t>BKR6E-11/F1</t>
  </si>
  <si>
    <t>BKR6E-11 YL</t>
  </si>
  <si>
    <t>BKR6E-11/F2</t>
  </si>
  <si>
    <t>BKR6EN-11 YL</t>
  </si>
  <si>
    <t>BKR6E-N-11/20</t>
  </si>
  <si>
    <t>BKR6E TY</t>
  </si>
  <si>
    <t>BKR6E/A5</t>
  </si>
  <si>
    <t>BKR6E YL</t>
  </si>
  <si>
    <t>BKR6E/A6</t>
  </si>
  <si>
    <t>BKR6EK YL</t>
  </si>
  <si>
    <t>BKR6EK/25</t>
  </si>
  <si>
    <t>BKR6EQUP PL</t>
  </si>
  <si>
    <t>PL</t>
  </si>
  <si>
    <t>BKUR6EK YL</t>
  </si>
  <si>
    <t>BKUR6EK/16</t>
  </si>
  <si>
    <t>BP5ES-11 YL</t>
  </si>
  <si>
    <t>BP5ES-11/64</t>
  </si>
  <si>
    <t>BP5ES YL</t>
  </si>
  <si>
    <t>BP5ES/E2</t>
  </si>
  <si>
    <t>BP5EY-11 YL</t>
  </si>
  <si>
    <t>BP5EY-11/19</t>
  </si>
  <si>
    <t>BP5EY TY</t>
  </si>
  <si>
    <t>BP5EY/54</t>
  </si>
  <si>
    <t>BP5EY YL</t>
  </si>
  <si>
    <t>BP5EY/55</t>
  </si>
  <si>
    <t>BP5EY HG</t>
  </si>
  <si>
    <t>BP5EY/56</t>
  </si>
  <si>
    <t>BP5HS YL</t>
  </si>
  <si>
    <t>BP5HS/42</t>
  </si>
  <si>
    <t>BP6ES YL</t>
  </si>
  <si>
    <t>BP6ES/F7</t>
  </si>
  <si>
    <t>BP6EY-11 YL</t>
  </si>
  <si>
    <t>BP6EY-11/08</t>
  </si>
  <si>
    <t>BP6EY YL</t>
  </si>
  <si>
    <t>BP6EY/37</t>
  </si>
  <si>
    <t>BP7ES YL</t>
  </si>
  <si>
    <t>BP7ES/52</t>
  </si>
  <si>
    <t>BPR5ES YL</t>
  </si>
  <si>
    <t>BPR5ES/G3</t>
  </si>
  <si>
    <t>BPR5EY-11 YL</t>
  </si>
  <si>
    <t>BPR5EY-11/44</t>
  </si>
  <si>
    <t>BPR5EY TY</t>
  </si>
  <si>
    <t>BPR5EY/59</t>
  </si>
  <si>
    <t>BPR5EY YL</t>
  </si>
  <si>
    <t>BPR5EY/60</t>
  </si>
  <si>
    <t>BPR6EF-11 YL</t>
  </si>
  <si>
    <t>BPR6EF-11/06</t>
  </si>
  <si>
    <t>BPR6ES YL</t>
  </si>
  <si>
    <t>BPR6ES/F4</t>
  </si>
  <si>
    <t>BPR6EY-11 YL</t>
  </si>
  <si>
    <t>BPR6EY-11/28</t>
  </si>
  <si>
    <t>BPR6EY YL</t>
  </si>
  <si>
    <t>BPR6EY/36</t>
  </si>
  <si>
    <t>DCPR7E YL</t>
  </si>
  <si>
    <t>DCPR7E/50</t>
  </si>
  <si>
    <t>DCPR7EA-9 YL QR</t>
  </si>
  <si>
    <t>DCPR7EA-9/30</t>
  </si>
  <si>
    <t>DCPR7EA-9 TY</t>
  </si>
  <si>
    <t>DCPR7EA-9/17</t>
  </si>
  <si>
    <t>DCPR8E YL</t>
  </si>
  <si>
    <t>DCPR8E/36</t>
  </si>
  <si>
    <t>FR6F-11K YL</t>
  </si>
  <si>
    <t>FR6F-11K/06</t>
  </si>
  <si>
    <t>KR6A-10 YL</t>
  </si>
  <si>
    <t>KR6A-10/21</t>
  </si>
  <si>
    <t>LFR5A-11 YL</t>
  </si>
  <si>
    <t>LFR5A-11/58</t>
  </si>
  <si>
    <t>LFR6C-11 TY</t>
  </si>
  <si>
    <t>LFR6C-11/16</t>
  </si>
  <si>
    <t>LFR6C-11 HG</t>
  </si>
  <si>
    <t>LFR6C-11/18</t>
  </si>
  <si>
    <t>LKR6C YL</t>
  </si>
  <si>
    <t>LKR6C/14</t>
  </si>
  <si>
    <t>LKR6D-10E YL</t>
  </si>
  <si>
    <t>LKR6D-10E/20</t>
  </si>
  <si>
    <t>LKR6F-10 YL</t>
  </si>
  <si>
    <t>LKR6F-10/16</t>
  </si>
  <si>
    <t>LZKAR6C-11 YL</t>
  </si>
  <si>
    <t>LZKAR6C-11/06</t>
  </si>
  <si>
    <t>LZKAR6C-9 YL</t>
  </si>
  <si>
    <t>LZKAR6C-9/05</t>
  </si>
  <si>
    <t>LZKR6B-10E YL</t>
  </si>
  <si>
    <t>LZKR6B-10E/25</t>
  </si>
  <si>
    <t>TR5A-10 YL</t>
  </si>
  <si>
    <t>TR5A-10/07</t>
  </si>
  <si>
    <t>ZFR5F-11 YL</t>
  </si>
  <si>
    <t>ZFR5F-11/80</t>
  </si>
  <si>
    <t>ZFR5N YL</t>
  </si>
  <si>
    <t>ZFR5N/11</t>
  </si>
  <si>
    <t>ZFR6K-11 YL</t>
  </si>
  <si>
    <t>ZFR6K-11/50</t>
  </si>
  <si>
    <t>BKR8EIX IX</t>
  </si>
  <si>
    <t>BKR8EIX/01</t>
  </si>
  <si>
    <t>BCPR5EGP GP</t>
  </si>
  <si>
    <t>BCPR5EGP/07</t>
  </si>
  <si>
    <t>BCPR6EGP GP</t>
  </si>
  <si>
    <t>BCPR6EGP/06</t>
  </si>
  <si>
    <t>BKR5EGP GPI</t>
  </si>
  <si>
    <t>BKR5EIX-11 IX</t>
  </si>
  <si>
    <t>BKR5EIX-11/21</t>
  </si>
  <si>
    <t>BKR5EIX IX</t>
  </si>
  <si>
    <t>BKR5EIX/11</t>
  </si>
  <si>
    <t>BKR6EGP GPI</t>
  </si>
  <si>
    <t>BKR6EGP/15</t>
  </si>
  <si>
    <t>BKR6EIX-11 IX</t>
  </si>
  <si>
    <t>BKR6EIX-11/23</t>
  </si>
  <si>
    <t>BKR6EIX IX</t>
  </si>
  <si>
    <t>BKR6EIX/19</t>
  </si>
  <si>
    <t>BKR7EIX IX</t>
  </si>
  <si>
    <t>BKR7EIX-11 IX</t>
  </si>
  <si>
    <t>BKR8EIX/06</t>
  </si>
  <si>
    <t>BKR9EIX IX</t>
  </si>
  <si>
    <t>BKR9EIX/01</t>
  </si>
  <si>
    <t>BPR5EGP GP</t>
  </si>
  <si>
    <t>BPR5EGP GP-1</t>
  </si>
  <si>
    <t>BPR5EGP/24</t>
  </si>
  <si>
    <t>BPR5EIX-11 IX</t>
  </si>
  <si>
    <t>BPR5EIX-11/10</t>
  </si>
  <si>
    <t>BPR5EIX IX</t>
  </si>
  <si>
    <t>BPR5EIX/10</t>
  </si>
  <si>
    <t>BPR5EIX IX-1</t>
  </si>
  <si>
    <t>BPR5EIX/04</t>
  </si>
  <si>
    <t>BPR6EGP GP</t>
  </si>
  <si>
    <t>BPR6EGP/08</t>
  </si>
  <si>
    <t>BPR6EIX-11 IX</t>
  </si>
  <si>
    <t>BPR6EIX-11/11</t>
  </si>
  <si>
    <t>BPR6EIX IX</t>
  </si>
  <si>
    <t>BPR6EIX/10</t>
  </si>
  <si>
    <t>BPR6EIX IX-1</t>
  </si>
  <si>
    <t>BPR6EIX/04</t>
  </si>
  <si>
    <t>DCPR6EIX IX</t>
  </si>
  <si>
    <t>DCPR6EIX/03</t>
  </si>
  <si>
    <t>DCPR7EGP GPI</t>
  </si>
  <si>
    <t>DCPR7EGP GPI-1</t>
  </si>
  <si>
    <t>DCPR7EGP/14</t>
  </si>
  <si>
    <t>DCPR7EIX IX</t>
  </si>
  <si>
    <t>DCPR7EIX/14</t>
  </si>
  <si>
    <t>DCPR7EIX IX-1</t>
  </si>
  <si>
    <t>DCPR7EIX/28</t>
  </si>
  <si>
    <t>DCPR8EIX IX</t>
  </si>
  <si>
    <t>DCPR8EIX/03</t>
  </si>
  <si>
    <t>DF6H-11A DF IL</t>
  </si>
  <si>
    <t>DF6H-11A/03</t>
  </si>
  <si>
    <t>DF6H-11B DF IL</t>
  </si>
  <si>
    <t>DF6H-11B/03</t>
  </si>
  <si>
    <t>DIFR6C-11 IL</t>
  </si>
  <si>
    <t>DIFR6C11/06</t>
  </si>
  <si>
    <t>DILFR5A-11 IL</t>
  </si>
  <si>
    <t>DILFR5A11/18</t>
  </si>
  <si>
    <t>DILFR6D8 IL</t>
  </si>
  <si>
    <t>DILFR6D8/02</t>
  </si>
  <si>
    <t>DILKAR6A-11 IL</t>
  </si>
  <si>
    <t>DILKAR6A11/21</t>
  </si>
  <si>
    <t>DILKAR6T8 IL</t>
  </si>
  <si>
    <t>DILKAR6T8/06</t>
  </si>
  <si>
    <t>DILKAR7D11H IL</t>
  </si>
  <si>
    <t>DILKAR7D11H/04</t>
  </si>
  <si>
    <t>DILKAR7S8 IL</t>
  </si>
  <si>
    <t>DILKAR7S8/04</t>
  </si>
  <si>
    <t>DILKAR8A8 IL</t>
  </si>
  <si>
    <t>DILKAR8A8/04</t>
  </si>
  <si>
    <t>DILKR6D11G IL</t>
  </si>
  <si>
    <t>DILKR6D11G/03</t>
  </si>
  <si>
    <t>DILKR8B-6 IL</t>
  </si>
  <si>
    <t>DILKR8B6/06</t>
  </si>
  <si>
    <t>DILZKAR6A-11 IL</t>
  </si>
  <si>
    <t>DILZKAR6A11/16</t>
  </si>
  <si>
    <t>DILZKAR6A-11 IL-1</t>
  </si>
  <si>
    <t>DILZKAR6A11/05</t>
  </si>
  <si>
    <t>DILZKAR7C11H IL</t>
  </si>
  <si>
    <t>DILZKAR7C11H/21</t>
  </si>
  <si>
    <t>DILKAR8P8SY IL</t>
  </si>
  <si>
    <t>IFR6T-11 IL</t>
  </si>
  <si>
    <t>IKR6G-11 IL</t>
  </si>
  <si>
    <t>IKR6G11/03</t>
  </si>
  <si>
    <t>ILFR6A IL</t>
  </si>
  <si>
    <t>ILFR6A/14</t>
  </si>
  <si>
    <t>ILKAR6B-11 IL</t>
  </si>
  <si>
    <t>ILKAR6B11/05</t>
  </si>
  <si>
    <t>ILKAR6B-11 IL-1</t>
  </si>
  <si>
    <t>ILKAR6B11/03</t>
  </si>
  <si>
    <t>ILKAR7B-11 IL</t>
  </si>
  <si>
    <t>ILKAR7B11/05</t>
  </si>
  <si>
    <t>ILKAR7K11S IL</t>
  </si>
  <si>
    <t>ILKAR7K11S/12</t>
  </si>
  <si>
    <t>ILKAR7L-11 IL</t>
  </si>
  <si>
    <t>ILKAR8E-7 IL</t>
  </si>
  <si>
    <t>ILKAR8E7/02</t>
  </si>
  <si>
    <t>ILKAR8H6 IL</t>
  </si>
  <si>
    <t>ILKAR8H6/03</t>
  </si>
  <si>
    <t>ILKR7B8 IL</t>
  </si>
  <si>
    <t>ILKR7B8/06</t>
  </si>
  <si>
    <t>ILKR8E6 IL</t>
  </si>
  <si>
    <t>ILKR8E6/04</t>
  </si>
  <si>
    <t>ILTR5A-13G IL</t>
  </si>
  <si>
    <t>ILTR5A-13G/23</t>
  </si>
  <si>
    <t>ILTR5A-13G IL-1</t>
  </si>
  <si>
    <t>ILTR5A-13G/08</t>
  </si>
  <si>
    <t>ILTR6H8G IL</t>
  </si>
  <si>
    <t>ILTR6H8G/17</t>
  </si>
  <si>
    <t>ILTR6G8G IL</t>
  </si>
  <si>
    <t>ILZKAR7B-11 IL</t>
  </si>
  <si>
    <t>ILZKAR7B11/04</t>
  </si>
  <si>
    <t>ILZKAR8H8S IL</t>
  </si>
  <si>
    <t>ILZKAR8J8SY IL</t>
  </si>
  <si>
    <t>ILZKAR8J8SY/18</t>
  </si>
  <si>
    <t>ILZKAR8J8SY IL-1</t>
  </si>
  <si>
    <t>ILZKAR8J8SY/06</t>
  </si>
  <si>
    <t>ILZKBR7B8G IL</t>
  </si>
  <si>
    <t>ILZNAR8A7G IL</t>
  </si>
  <si>
    <t>DILZKAR7C11S IL</t>
  </si>
  <si>
    <t>ILZKR7B-11S IL</t>
  </si>
  <si>
    <t>ILZKR7B-11S/25</t>
  </si>
  <si>
    <t>ITR6F-13 IL</t>
  </si>
  <si>
    <t>IZFR6H11 IL</t>
  </si>
  <si>
    <t>IZFR6H11/03</t>
  </si>
  <si>
    <t>IZFR6K-11S IL</t>
  </si>
  <si>
    <t>IZFR6K-11S/34</t>
  </si>
  <si>
    <t>IZFR6K-11 IL</t>
  </si>
  <si>
    <t>IZFR6K11/31</t>
  </si>
  <si>
    <t>IZFR6K-11 IL-1</t>
  </si>
  <si>
    <t>IZFR6K11/07</t>
  </si>
  <si>
    <t>IZFR6K-13 IL</t>
  </si>
  <si>
    <t>IZFR6K13/39</t>
  </si>
  <si>
    <t>LFR5AGP GP</t>
  </si>
  <si>
    <t>LFR5AGP/14</t>
  </si>
  <si>
    <t>LFR5AIX-11 IX</t>
  </si>
  <si>
    <t>LFR5AIX-11/16</t>
  </si>
  <si>
    <t>LFR6AIX-11 IX</t>
  </si>
  <si>
    <t>LFR6AIX-11/17</t>
  </si>
  <si>
    <t>LFR7AIX/01</t>
  </si>
  <si>
    <t>LFR6CGP GP</t>
  </si>
  <si>
    <t>LFR6CGP/13</t>
  </si>
  <si>
    <t>LKR8HI-8 IL</t>
  </si>
  <si>
    <t>LKAR6AGP GP QR</t>
  </si>
  <si>
    <t>LKAR6AGP/04</t>
  </si>
  <si>
    <t>LKAR6AIX-11 IX</t>
  </si>
  <si>
    <t>LKAR6AIX-11/02</t>
  </si>
  <si>
    <t>LKAR7BGP-S GP</t>
  </si>
  <si>
    <t>LKAR7BGP-S/02</t>
  </si>
  <si>
    <t>LKAR7BGP GP</t>
  </si>
  <si>
    <t>LKAR7BGP/02</t>
  </si>
  <si>
    <t>LKR6AGP GP</t>
  </si>
  <si>
    <t>LKR6AGP/03</t>
  </si>
  <si>
    <t>LKR6AGP GP-1</t>
  </si>
  <si>
    <t>LKR6AGP/05</t>
  </si>
  <si>
    <t>LKR6AIX IX</t>
  </si>
  <si>
    <t>LKR8AP PL</t>
  </si>
  <si>
    <t>LKR8AP/09</t>
  </si>
  <si>
    <t>LTR5GP GP</t>
  </si>
  <si>
    <t>LTR5GP/02</t>
  </si>
  <si>
    <t>LTR5IX-11 IX</t>
  </si>
  <si>
    <t>LTR5IX-11/07</t>
  </si>
  <si>
    <t>LZFR5BI-11 IL</t>
  </si>
  <si>
    <t>LZFR5BI-11/07</t>
  </si>
  <si>
    <t>LZFR5BI-11 IL-1</t>
  </si>
  <si>
    <t>LZFR5BI-11/03</t>
  </si>
  <si>
    <t>LZFR6AI IL</t>
  </si>
  <si>
    <t>LZFR6AI/12</t>
  </si>
  <si>
    <t>LZFR6BI-11 IL</t>
  </si>
  <si>
    <t>LZFR6BI-11/04</t>
  </si>
  <si>
    <t>LZKAR5AP-11 PL</t>
  </si>
  <si>
    <t>LZKAR5AP-11/10</t>
  </si>
  <si>
    <t>LZKAR6AP-11 PL</t>
  </si>
  <si>
    <t>LZKAR6AP-11/36</t>
  </si>
  <si>
    <t>LZKAR6AP-11 PL-1</t>
  </si>
  <si>
    <t>LZKAR6AP-11/05</t>
  </si>
  <si>
    <t>LZTR6AIX-13 IX</t>
  </si>
  <si>
    <t>LZTR6AIX-13/01</t>
  </si>
  <si>
    <t>LZTR6AIX-11 IX</t>
  </si>
  <si>
    <t>LZTR6AIX-11/02</t>
  </si>
  <si>
    <t>PFR8S8EG PL</t>
  </si>
  <si>
    <t>PZKER7B8EGS PL</t>
  </si>
  <si>
    <t>PZKER7B8EGS/11</t>
  </si>
  <si>
    <t>PLKR7B8E PL</t>
  </si>
  <si>
    <t>R2558E-8 R</t>
  </si>
  <si>
    <t>R2558E-8/01</t>
  </si>
  <si>
    <t>R2558E-9 R</t>
  </si>
  <si>
    <t>R2558E-9/01</t>
  </si>
  <si>
    <t>R7434-9 R</t>
  </si>
  <si>
    <t>R7434-9/01</t>
  </si>
  <si>
    <t>RE9B-T IL</t>
  </si>
  <si>
    <t>RE9B-T/04</t>
  </si>
  <si>
    <t>SILFR6A-11 IL</t>
  </si>
  <si>
    <t>SILFR6A11/07</t>
  </si>
  <si>
    <t>SILKAR7G8G IL</t>
  </si>
  <si>
    <t>SILTR6A7G IL</t>
  </si>
  <si>
    <t>SILZKAR7B-11 IL</t>
  </si>
  <si>
    <t>SILZKAR7B11/10</t>
  </si>
  <si>
    <t>SILZKAR7B-11 IL-1</t>
  </si>
  <si>
    <t>SILZKAR7B11/03</t>
  </si>
  <si>
    <t>SILZKBR8D8S IL</t>
  </si>
  <si>
    <t>SILZKBR8D8S/02</t>
  </si>
  <si>
    <t>SILZKGR8B8S IL</t>
  </si>
  <si>
    <t>SILZKGR8B8S/09</t>
  </si>
  <si>
    <t>SILZKR6B-10E IL</t>
  </si>
  <si>
    <t>SILZKR6B10E/25</t>
  </si>
  <si>
    <t>SILZKR7B11 IL</t>
  </si>
  <si>
    <t>SILZKR7B11/38</t>
  </si>
  <si>
    <t>SILZKR7C-11S IL</t>
  </si>
  <si>
    <t>SILZKR7C11S/24</t>
  </si>
  <si>
    <t>SILZKR7C-11S IL-1</t>
  </si>
  <si>
    <t>SILZKR7C11S/13</t>
  </si>
  <si>
    <t>SIZFR6B8EG IL</t>
  </si>
  <si>
    <t>SIZFR6B8EG/03</t>
  </si>
  <si>
    <t>TR6GP GP</t>
  </si>
  <si>
    <t>TR6GP/06</t>
  </si>
  <si>
    <t>TR6IX IX</t>
  </si>
  <si>
    <t>TR6IX/09</t>
  </si>
  <si>
    <t>ZFR5EGP GP</t>
  </si>
  <si>
    <t>ZFR5EGP/04</t>
  </si>
  <si>
    <t>ZFR5FGP GP</t>
  </si>
  <si>
    <t>ZFR5FGP/12</t>
  </si>
  <si>
    <t>ZFR5FIX-11 IX</t>
  </si>
  <si>
    <t>ZFR5FIX-11/17</t>
  </si>
  <si>
    <t>ZFR6FGP GP</t>
  </si>
  <si>
    <t>ZFR6FGP/10</t>
  </si>
  <si>
    <t>ZFR6FIX-11 IX</t>
  </si>
  <si>
    <t>ZFR6FIX-11/15</t>
  </si>
  <si>
    <t>R2556G-8 R</t>
  </si>
  <si>
    <t>R2556G-8/01</t>
  </si>
  <si>
    <t>R2556G-9 R</t>
  </si>
  <si>
    <t>R2556G-9/01</t>
  </si>
  <si>
    <t>R7434-8 R</t>
  </si>
  <si>
    <t>R7434-8/01</t>
  </si>
  <si>
    <t>R7436-8 R</t>
  </si>
  <si>
    <t>R7436-8/01</t>
  </si>
  <si>
    <t>R7436-9 R</t>
  </si>
  <si>
    <t>R7436-9/01</t>
  </si>
  <si>
    <t>R7438-8 R</t>
  </si>
  <si>
    <t>R7438-8/01</t>
  </si>
  <si>
    <t>R7438-9 R</t>
  </si>
  <si>
    <t>R7438-9/01</t>
  </si>
  <si>
    <t>RE7C-L IL</t>
  </si>
  <si>
    <t>RE7C-L/05</t>
  </si>
  <si>
    <t>SILZKFR8D7S IL</t>
  </si>
  <si>
    <t>SILZKR7B-11 IL</t>
  </si>
  <si>
    <t>SILZKR7B11/03</t>
  </si>
  <si>
    <t>SILZKFR8E7S IL</t>
  </si>
  <si>
    <t>SILZKFR8E7S/05</t>
  </si>
  <si>
    <t>DCPR9EIX IX</t>
  </si>
  <si>
    <t>NT4265 D-cast</t>
  </si>
  <si>
    <t>NONE</t>
  </si>
  <si>
    <t>QIDSMSP-0000001</t>
  </si>
  <si>
    <t>L05FT AM</t>
  </si>
  <si>
    <t>Plug Cap</t>
  </si>
  <si>
    <t>L05FT/13</t>
  </si>
  <si>
    <t>LB05EZ AM</t>
  </si>
  <si>
    <t>LB05EZ/07</t>
  </si>
  <si>
    <t>LD05FGA AM</t>
  </si>
  <si>
    <t>LD05FGA/09</t>
  </si>
  <si>
    <t>LD05FTAK AM</t>
  </si>
  <si>
    <t>LD05FTAK/05</t>
  </si>
  <si>
    <t>LD05FTHK AM</t>
  </si>
  <si>
    <t>LD05FTHK/07</t>
  </si>
  <si>
    <t>LD10FHA AM</t>
  </si>
  <si>
    <t>LD10FHA/03</t>
  </si>
  <si>
    <t>LD10FHAK AM</t>
  </si>
  <si>
    <t>LD10FHAK/08</t>
  </si>
  <si>
    <t>LZFH AM</t>
  </si>
  <si>
    <t>LZFH/08</t>
  </si>
  <si>
    <t>LZFHA AM</t>
  </si>
  <si>
    <t>LZFHA/04</t>
  </si>
  <si>
    <t>ND05FA AM</t>
  </si>
  <si>
    <t>ND05FA/06</t>
  </si>
  <si>
    <t>ND05FGB AM</t>
  </si>
  <si>
    <t>ND05FGB/13</t>
  </si>
  <si>
    <t>SD05FBK AM</t>
  </si>
  <si>
    <t>SD05FBK/12</t>
  </si>
  <si>
    <t>VD05FA AM</t>
  </si>
  <si>
    <t>VD05FA/03</t>
  </si>
  <si>
    <t>VD05FAAK AM</t>
  </si>
  <si>
    <t>VD05FAAK/04</t>
  </si>
  <si>
    <t>VD10FHKA AM</t>
  </si>
  <si>
    <t>VD10FHKA/04</t>
  </si>
  <si>
    <t>XD05FMGE AM</t>
  </si>
  <si>
    <t>XD05FMGE/14</t>
  </si>
  <si>
    <t>VD10FHK AM</t>
  </si>
  <si>
    <t>VD10FHK/07</t>
  </si>
  <si>
    <t>INJ20004</t>
  </si>
  <si>
    <t>Injector</t>
  </si>
  <si>
    <t>CRPINJKVB000S51/01</t>
  </si>
  <si>
    <t>INJ20007</t>
  </si>
  <si>
    <t>CRPINJKZR000601/01</t>
  </si>
  <si>
    <t>Category</t>
  </si>
  <si>
    <t>PM NI</t>
  </si>
  <si>
    <t>Type</t>
  </si>
  <si>
    <t>Price 2025</t>
  </si>
  <si>
    <t>A</t>
  </si>
  <si>
    <t>2W</t>
  </si>
  <si>
    <t>B5HS YL</t>
  </si>
  <si>
    <t>B6S YL</t>
  </si>
  <si>
    <t>B9HS YL</t>
  </si>
  <si>
    <t>B10HS YL</t>
  </si>
  <si>
    <t>BCP7ET YL</t>
  </si>
  <si>
    <t>BPM7A YL</t>
  </si>
  <si>
    <t>BPMR6F YL</t>
  </si>
  <si>
    <t>BPMR6A YL</t>
  </si>
  <si>
    <t>BPR6HS YL</t>
  </si>
  <si>
    <t>BPR7HS YL</t>
  </si>
  <si>
    <t>NI</t>
  </si>
  <si>
    <t>BR2-LM YL</t>
  </si>
  <si>
    <t>BR6HSA YL</t>
  </si>
  <si>
    <t>BR7HS YL</t>
  </si>
  <si>
    <t>BR7HS-10 YL</t>
  </si>
  <si>
    <t>BR8ECM YL</t>
  </si>
  <si>
    <t>BR8HS YL</t>
  </si>
  <si>
    <t>BR8HSA YL</t>
  </si>
  <si>
    <t>BR9HS YL</t>
  </si>
  <si>
    <t>BR10ES YL</t>
  </si>
  <si>
    <t>C8HSA YL</t>
  </si>
  <si>
    <t>C8EH-9 YL</t>
  </si>
  <si>
    <t>CPR8E YL</t>
  </si>
  <si>
    <t>CPR8EB-9 YL</t>
  </si>
  <si>
    <t>CR5EH-9 YL</t>
  </si>
  <si>
    <t>CR6HS YL</t>
  </si>
  <si>
    <t>CR7EKB YL</t>
  </si>
  <si>
    <t>CR7HS YL</t>
  </si>
  <si>
    <t>CR9EB YL</t>
  </si>
  <si>
    <t>DPR6EA-9 YL</t>
  </si>
  <si>
    <t>DPR7EA-9 YL</t>
  </si>
  <si>
    <t>DPR8EA-9 YL</t>
  </si>
  <si>
    <t>DPR9EA-9 YL</t>
  </si>
  <si>
    <t>DR7EA YL</t>
  </si>
  <si>
    <t>DR8ES YL</t>
  </si>
  <si>
    <t>DR8ES-L YL</t>
  </si>
  <si>
    <t>DR9EA YL</t>
  </si>
  <si>
    <t>ER9EH-N YL</t>
  </si>
  <si>
    <t>JR9B YL</t>
  </si>
  <si>
    <t>LKAR8A-9 YL</t>
  </si>
  <si>
    <t>LMAR8D-J YL</t>
  </si>
  <si>
    <t>BPR9ES</t>
  </si>
  <si>
    <t>PM</t>
  </si>
  <si>
    <t>BR9ECMIX IX</t>
  </si>
  <si>
    <t>CPR6EAGP-9 GP</t>
  </si>
  <si>
    <t>CPR8EAGP-9 GP</t>
  </si>
  <si>
    <t>CPR8EDX-9S</t>
  </si>
  <si>
    <t>CPR9EDX-9S</t>
  </si>
  <si>
    <t>CR7HGP GP</t>
  </si>
  <si>
    <t>CR8EDX-S</t>
  </si>
  <si>
    <t>CR8EGP GP</t>
  </si>
  <si>
    <t>CR9EDX-S</t>
  </si>
  <si>
    <t>CR9EIA-9</t>
  </si>
  <si>
    <t>CR9EGP GP</t>
  </si>
  <si>
    <t>CR10EIX IX</t>
  </si>
  <si>
    <t>IMR9B-9H IL</t>
  </si>
  <si>
    <t>LMAR7DI-10 IL</t>
  </si>
  <si>
    <t>LMAR8ADX-9S</t>
  </si>
  <si>
    <t>LMAR8EI-7 IL</t>
  </si>
  <si>
    <t>CR1</t>
  </si>
  <si>
    <t>CR2</t>
  </si>
  <si>
    <t>CR3</t>
  </si>
  <si>
    <t>CR4</t>
  </si>
  <si>
    <t>CR5</t>
  </si>
  <si>
    <t>J-1</t>
  </si>
  <si>
    <t>R0045Q-10</t>
  </si>
  <si>
    <t>R0373A-10</t>
  </si>
  <si>
    <t>R0373A-11</t>
  </si>
  <si>
    <t>R0373A-8</t>
  </si>
  <si>
    <t>R0373A-9</t>
  </si>
  <si>
    <t>R0409B-10</t>
  </si>
  <si>
    <t>R0451B-8</t>
  </si>
  <si>
    <t>R0451B-9</t>
  </si>
  <si>
    <t>R0451C-10</t>
  </si>
  <si>
    <t>R0452A-10</t>
  </si>
  <si>
    <t>R0459A-10</t>
  </si>
  <si>
    <t>R0465B-10</t>
  </si>
  <si>
    <t>R2525-9</t>
  </si>
  <si>
    <t>R2558E-8</t>
  </si>
  <si>
    <t>R2558E-9</t>
  </si>
  <si>
    <t>R7376-8</t>
  </si>
  <si>
    <t>R7376-9</t>
  </si>
  <si>
    <t>SILMAR10C9S</t>
  </si>
  <si>
    <t>BCPR7ES YL</t>
  </si>
  <si>
    <t>BKR6EKUC YL</t>
  </si>
  <si>
    <t>BKR7EKC YL</t>
  </si>
  <si>
    <t>BKUR6ET YL</t>
  </si>
  <si>
    <t>BPR7ES YL</t>
  </si>
  <si>
    <t>BPR8ES YL</t>
  </si>
  <si>
    <t>BUR6ET YL</t>
  </si>
  <si>
    <t>DCPR6E YL</t>
  </si>
  <si>
    <t>DCPR7EA-9 YL</t>
  </si>
  <si>
    <t>DCPR8EKC YL</t>
  </si>
  <si>
    <t>DCPR9E YL</t>
  </si>
  <si>
    <t>ZFR6J-11 YL</t>
  </si>
  <si>
    <t>BKR5EGP GP</t>
  </si>
  <si>
    <t>BKR6EGP GP</t>
  </si>
  <si>
    <t>DCPR7EGP GP</t>
  </si>
  <si>
    <t>DF6H-11A IL</t>
  </si>
  <si>
    <t>DF6H-11B IL</t>
  </si>
  <si>
    <t>DILZKAR7B11 IL</t>
  </si>
  <si>
    <t>FR6EI IL</t>
  </si>
  <si>
    <t>IFR5T-11 IL</t>
  </si>
  <si>
    <t>IKR7D IL</t>
  </si>
  <si>
    <t>ILKR8E-6 IL</t>
  </si>
  <si>
    <t>ILTR5B-11 IL</t>
  </si>
  <si>
    <t>ILTR6B-11 IL</t>
  </si>
  <si>
    <t>ILZKAR7B11 IL</t>
  </si>
  <si>
    <t>LFR6AIX IX</t>
  </si>
  <si>
    <t>LKAR6AGP GP</t>
  </si>
  <si>
    <t>LKAR7BIX-11S IX</t>
  </si>
  <si>
    <t>LTR6GP GP</t>
  </si>
  <si>
    <t>LTR6BI-13 IL</t>
  </si>
  <si>
    <t>PFR6N-11 PL</t>
  </si>
  <si>
    <t>PFR7B PL</t>
  </si>
  <si>
    <t>PFR8B PL</t>
  </si>
  <si>
    <t>PFR7S8EG PL</t>
  </si>
  <si>
    <t>PKR9B PL</t>
  </si>
  <si>
    <t>PLZKBR7B8DG PL</t>
  </si>
  <si>
    <t>PLKR7A PL</t>
  </si>
  <si>
    <t>PMR7A PL</t>
  </si>
  <si>
    <t>PMR9B PL</t>
  </si>
  <si>
    <t>R2556G-8</t>
  </si>
  <si>
    <t>R2556G-9</t>
  </si>
  <si>
    <t>R7434-8</t>
  </si>
  <si>
    <t>R7434-9</t>
  </si>
  <si>
    <t>R7436-8</t>
  </si>
  <si>
    <t>R7436-9</t>
  </si>
  <si>
    <t>R7438-8</t>
  </si>
  <si>
    <t>R7438-9</t>
  </si>
  <si>
    <t>RE9B-T</t>
  </si>
  <si>
    <t>SILFR6C-11 IL</t>
  </si>
  <si>
    <t>SILZKR6B10E IL</t>
  </si>
  <si>
    <t>IRIWAY 7</t>
  </si>
  <si>
    <t>IRIWAY 8</t>
  </si>
  <si>
    <t>IRIWAY 9</t>
  </si>
  <si>
    <t>SO-HKYE941</t>
  </si>
  <si>
    <t>Sensor Oxygen</t>
  </si>
  <si>
    <t>CRPSOHKYE000941/01</t>
  </si>
  <si>
    <t>SO-HK25901</t>
  </si>
  <si>
    <t>CRPSOHK25000901/01</t>
  </si>
  <si>
    <t>SO-HKWW641</t>
  </si>
  <si>
    <t>CRPSOHKWW000641/01</t>
  </si>
  <si>
    <t>SO-HKZL931</t>
  </si>
  <si>
    <t>CRPSOHKZL000931/01</t>
  </si>
  <si>
    <t>SO-HK18901</t>
  </si>
  <si>
    <t>CRPSOHK18000901/01</t>
  </si>
  <si>
    <t>SO-HK01611</t>
  </si>
  <si>
    <t>CRPSOHK01000611/01</t>
  </si>
  <si>
    <t>SO-HKZR601</t>
  </si>
  <si>
    <t>CRPSOHKZR000601/01</t>
  </si>
  <si>
    <t>SO-HK56N11</t>
  </si>
  <si>
    <t>CRPSOHK56000N11/01</t>
  </si>
  <si>
    <t>SO-HK56N10</t>
  </si>
  <si>
    <t>CRPSOHK56000N10/01</t>
  </si>
  <si>
    <t>SO-HK50T01</t>
  </si>
  <si>
    <t>CRPSOHK50000T01/01</t>
  </si>
  <si>
    <t>SO-HK66V01</t>
  </si>
  <si>
    <t>CRPSOHK66000V01/01</t>
  </si>
  <si>
    <t>SO-HK1ZJ11</t>
  </si>
  <si>
    <t>CRPSOHK1Z000J11/01</t>
  </si>
  <si>
    <t>SO-HK0JN01</t>
  </si>
  <si>
    <t>CRPSOHK0J000N01/01</t>
  </si>
  <si>
    <t>SO-HK1AN01</t>
  </si>
  <si>
    <t>CRPSOHK1A000N01/01</t>
  </si>
  <si>
    <t>SO-HK35V01</t>
  </si>
  <si>
    <t>CRPSOHK35000V01/01</t>
  </si>
  <si>
    <t>SO-HK41NO1</t>
  </si>
  <si>
    <t>CRPSOHK41000NO1/01</t>
  </si>
  <si>
    <t>SO-HK46N01</t>
  </si>
  <si>
    <t>CRPSOHK46000N01/01</t>
  </si>
  <si>
    <t>SO-HK81N01</t>
  </si>
  <si>
    <t>CRPSOHK81000N01/01</t>
  </si>
  <si>
    <t>SO-HK84901</t>
  </si>
  <si>
    <t>CRPSOHK84000901/01</t>
  </si>
  <si>
    <t>SO-HKPGH21</t>
  </si>
  <si>
    <t>CRPSOHKPG000H21/01</t>
  </si>
  <si>
    <t>SO-HK64NO1</t>
  </si>
  <si>
    <t>CRPSOHK64000NO1/01</t>
  </si>
  <si>
    <t>SO-HK64NA1</t>
  </si>
  <si>
    <t>CRPSOHK64000NA1/01</t>
  </si>
  <si>
    <t>SO-HK18961</t>
  </si>
  <si>
    <t>CRPSOHK18000961/01</t>
  </si>
  <si>
    <t>SO-HK3AV01</t>
  </si>
  <si>
    <t>CRPSOHK3A000V01/01</t>
  </si>
  <si>
    <t>SO-HK64NP1</t>
  </si>
  <si>
    <t>CRPSOHK64000NP1/01</t>
  </si>
  <si>
    <t>SO-D65BZ49</t>
  </si>
  <si>
    <t>CRPSOD65B000Z49/01</t>
  </si>
  <si>
    <t>SO-D65BZ65</t>
  </si>
  <si>
    <t>CRPSOD65B000Z65/01</t>
  </si>
  <si>
    <t>KS-D15BZ07</t>
  </si>
  <si>
    <t>CRPKSD15B000Z07/01</t>
  </si>
  <si>
    <t>SO-D65BZ54</t>
  </si>
  <si>
    <t>CRPSOD65B000Z54/01</t>
  </si>
  <si>
    <t>SO-D65BZ59</t>
  </si>
  <si>
    <t>CRPSOD65B000Z59/01</t>
  </si>
  <si>
    <t>KS-S4073R0</t>
  </si>
  <si>
    <t>CRPKSS4070003R0/01</t>
  </si>
  <si>
    <t>KS-S4052S0</t>
  </si>
  <si>
    <t>CRPKSS4050002S0/01</t>
  </si>
  <si>
    <t>SO-HRK9Z01</t>
  </si>
  <si>
    <t>CRPSOHRK9000Z01/01</t>
  </si>
  <si>
    <t>SO-HRNAA01</t>
  </si>
  <si>
    <t>CRPSOHRNA000A01/01</t>
  </si>
  <si>
    <t>SO-HR5A004</t>
  </si>
  <si>
    <t>CRPSOHR5A000004/01</t>
  </si>
  <si>
    <t>SO-HR5AA01</t>
  </si>
  <si>
    <t>CRPSOHR5A000A01/01</t>
  </si>
  <si>
    <t>SO-H5M1H11</t>
  </si>
  <si>
    <t>CRPSOH5M1000H11/01</t>
  </si>
  <si>
    <t>SO-H5M1H61</t>
  </si>
  <si>
    <t>CRPSOH5M1000H61/01</t>
  </si>
  <si>
    <t>SO-H55A305</t>
  </si>
  <si>
    <t>CRPSOH55A000305/01</t>
  </si>
  <si>
    <t>SO-H5EA305</t>
  </si>
  <si>
    <t>CRPSOH5EA000305/01</t>
  </si>
  <si>
    <t>SO-H6A0A51</t>
  </si>
  <si>
    <t>CRPSOH6A0000A51/01</t>
  </si>
  <si>
    <t>SO-H6HLP01</t>
  </si>
  <si>
    <t>CRPSOH6HL000P01/01</t>
  </si>
  <si>
    <t>SO-H6HA004</t>
  </si>
  <si>
    <t>CRPSOH6HA000004/01</t>
  </si>
  <si>
    <t>SO-HRBJ305</t>
  </si>
  <si>
    <t>CRPSOHRBJ000305/01</t>
  </si>
  <si>
    <t>SO-H5WJ004</t>
  </si>
  <si>
    <t>CRPSOH5WJ000004/01</t>
  </si>
  <si>
    <t>SO-H5JE004</t>
  </si>
  <si>
    <t>CRPSOH5JE000004/01</t>
  </si>
  <si>
    <t>Price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</si>
</sst>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 yyyy"/>
    <numFmt numFmtId="165" formatCode="d mmm"/>
    <numFmt numFmtId="166" formatCode="dd mmm"/>
    <numFmt numFmtId="167" formatCode="mm/dd/yy"/>
  </numFmts>
  <fonts count="17">
    <font>
      <sz val="10.0"/>
      <color rgb="FF000000"/>
      <name val="Arial"/>
      <scheme val="minor"/>
    </font>
    <font>
      <color theme="1"/>
      <name val="Arial"/>
      <scheme val="minor"/>
    </font>
    <font>
      <color rgb="FF222222"/>
      <name val="Arial"/>
    </font>
    <font>
      <sz val="11.0"/>
      <color rgb="FF000000"/>
      <name val="&quot;Aptos Narrow&quot;"/>
    </font>
    <font>
      <b/>
      <sz val="12.0"/>
      <color rgb="FF000000"/>
      <name val="Arial"/>
    </font>
    <font>
      <sz val="11.0"/>
      <color rgb="FF000000"/>
      <name val="Arial"/>
    </font>
    <font>
      <b/>
      <sz val="11.0"/>
      <color rgb="FF444444"/>
      <name val="Arial"/>
    </font>
    <font/>
    <font>
      <sz val="11.0"/>
      <color rgb="FF444444"/>
      <name val="Arial"/>
    </font>
    <font>
      <b/>
      <sz val="11.0"/>
      <color rgb="FF222222"/>
      <name val="Arial"/>
    </font>
    <font>
      <b/>
      <sz val="11.0"/>
      <color rgb="FF000000"/>
      <name val="Arial"/>
    </font>
    <font>
      <b/>
      <color theme="1"/>
      <name val="Arial"/>
    </font>
    <font>
      <color theme="1"/>
      <name val="Arial"/>
    </font>
    <font>
      <color rgb="FF000000"/>
      <name val="Arial"/>
    </font>
    <font>
      <sz val="11.0"/>
      <color rgb="FF1F1F1F"/>
      <name val="&quot;Google Sans&quot;"/>
    </font>
    <font>
      <b/>
      <sz val="11.0"/>
      <color theme="1"/>
      <name val="&quot;Aptos Narrow&quot;"/>
    </font>
    <font>
      <b/>
      <sz val="11.0"/>
      <color theme="1"/>
      <name val="Calibri"/>
    </font>
  </fonts>
  <fills count="11">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C6E0B4"/>
        <bgColor rgb="FFC6E0B4"/>
      </patternFill>
    </fill>
    <fill>
      <patternFill patternType="solid">
        <fgColor rgb="FF00FF00"/>
        <bgColor rgb="FF00FF00"/>
      </patternFill>
    </fill>
    <fill>
      <patternFill patternType="solid">
        <fgColor rgb="FFBDBDBD"/>
        <bgColor rgb="FFBDBDBD"/>
      </patternFill>
    </fill>
    <fill>
      <patternFill patternType="solid">
        <fgColor rgb="FFF3F3F3"/>
        <bgColor rgb="FFF3F3F3"/>
      </patternFill>
    </fill>
    <fill>
      <patternFill patternType="solid">
        <fgColor rgb="FFFF0000"/>
        <bgColor rgb="FFFF0000"/>
      </patternFill>
    </fill>
    <fill>
      <patternFill patternType="solid">
        <fgColor rgb="FFFFFFCC"/>
        <bgColor rgb="FFFFFFCC"/>
      </patternFill>
    </fill>
    <fill>
      <patternFill patternType="solid">
        <fgColor rgb="FFB5E6A2"/>
        <bgColor rgb="FFB5E6A2"/>
      </patternFill>
    </fill>
  </fills>
  <borders count="24">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border>
    <border>
      <right style="thin">
        <color rgb="FF000000"/>
      </right>
    </border>
    <border>
      <right style="thin">
        <color rgb="FF000000"/>
      </right>
      <top style="thin">
        <color rgb="FF000000"/>
      </top>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left style="thin">
        <color rgb="FF000000"/>
      </left>
      <right style="thin">
        <color rgb="FF000000"/>
      </right>
      <top style="thin">
        <color rgb="FF000000"/>
      </top>
    </border>
    <border>
      <top style="thin">
        <color rgb="FF000000"/>
      </top>
    </border>
    <border>
      <left style="thin">
        <color rgb="FF000000"/>
      </left>
      <bottom style="thin">
        <color rgb="FF000000"/>
      </bottom>
    </border>
    <border>
      <left style="thin">
        <color rgb="FF000000"/>
      </left>
      <right style="thin">
        <color rgb="FF000000"/>
      </right>
      <top style="hair">
        <color rgb="FF000000"/>
      </top>
      <bottom style="hair">
        <color rgb="FF000000"/>
      </bottom>
    </border>
    <border>
      <top style="hair">
        <color rgb="FF000000"/>
      </top>
      <bottom style="hair">
        <color rgb="FF000000"/>
      </bottom>
    </border>
    <border>
      <left style="hair">
        <color rgb="FF000000"/>
      </left>
      <top style="hair">
        <color rgb="FF000000"/>
      </top>
      <bottom style="hair">
        <color rgb="FF000000"/>
      </bottom>
    </border>
    <border>
      <left style="thin">
        <color rgb="FF000000"/>
      </left>
      <right style="thin">
        <color rgb="FF000000"/>
      </right>
      <bottom style="hair">
        <color rgb="FF000000"/>
      </bottom>
    </border>
    <border>
      <bottom style="hair">
        <color rgb="FF000000"/>
      </bottom>
    </border>
    <border>
      <left style="hair">
        <color rgb="FF000000"/>
      </left>
      <bottom style="hair">
        <color rgb="FF000000"/>
      </bottom>
    </border>
    <border>
      <left style="hair">
        <color rgb="FF000000"/>
      </left>
      <bottom style="thin">
        <color rgb="FF000000"/>
      </bottom>
    </border>
    <border>
      <left style="thin">
        <color rgb="FF000000"/>
      </left>
      <right style="thin">
        <color rgb="FF000000"/>
      </right>
      <top style="hair">
        <color rgb="FF000000"/>
      </top>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2" fontId="1" numFmtId="0" xfId="0" applyAlignment="1" applyFill="1" applyFont="1">
      <alignment readingOrder="0"/>
    </xf>
    <xf borderId="0" fillId="0" fontId="1" numFmtId="165" xfId="0" applyAlignment="1" applyFont="1" applyNumberFormat="1">
      <alignment readingOrder="0"/>
    </xf>
    <xf borderId="0" fillId="3" fontId="2" numFmtId="0" xfId="0" applyAlignment="1" applyFill="1" applyFont="1">
      <alignment readingOrder="0"/>
    </xf>
    <xf borderId="0" fillId="0" fontId="1" numFmtId="3" xfId="0" applyAlignment="1" applyFont="1" applyNumberFormat="1">
      <alignment readingOrder="0"/>
    </xf>
    <xf borderId="0" fillId="0" fontId="1" numFmtId="166" xfId="0" applyAlignment="1" applyFont="1" applyNumberFormat="1">
      <alignment readingOrder="0"/>
    </xf>
    <xf borderId="0" fillId="0" fontId="3" numFmtId="0" xfId="0" applyAlignment="1" applyFont="1">
      <alignment readingOrder="0" shrinkToFit="0" vertical="bottom" wrapText="0"/>
    </xf>
    <xf borderId="0" fillId="0" fontId="4" numFmtId="0" xfId="0" applyAlignment="1" applyFont="1">
      <alignment horizontal="left" readingOrder="0" shrinkToFit="0" vertical="center" wrapText="0"/>
    </xf>
    <xf borderId="0" fillId="0" fontId="4" numFmtId="0" xfId="0" applyAlignment="1" applyFont="1">
      <alignment horizontal="center" readingOrder="0" shrinkToFit="0" vertical="center" wrapText="1"/>
    </xf>
    <xf borderId="0" fillId="0" fontId="1" numFmtId="0" xfId="0" applyAlignment="1" applyFont="1">
      <alignment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1" fillId="4" fontId="6" numFmtId="0" xfId="0" applyAlignment="1" applyBorder="1" applyFill="1" applyFont="1">
      <alignment horizontal="center" readingOrder="0" shrinkToFit="0" vertical="center" wrapText="1"/>
    </xf>
    <xf borderId="2" fillId="4" fontId="6" numFmtId="0" xfId="0" applyAlignment="1" applyBorder="1" applyFont="1">
      <alignment horizontal="center" readingOrder="0" shrinkToFit="0" vertical="center" wrapText="1"/>
    </xf>
    <xf borderId="3" fillId="4" fontId="6" numFmtId="0" xfId="0" applyAlignment="1" applyBorder="1" applyFont="1">
      <alignment horizontal="center" readingOrder="0" shrinkToFit="0" vertical="center" wrapText="1"/>
    </xf>
    <xf borderId="4" fillId="0" fontId="7" numFmtId="0" xfId="0" applyBorder="1" applyFont="1"/>
    <xf borderId="4" fillId="4" fontId="6" numFmtId="0" xfId="0" applyAlignment="1" applyBorder="1" applyFont="1">
      <alignment horizontal="center" readingOrder="0" shrinkToFit="0" vertical="center" wrapText="1"/>
    </xf>
    <xf borderId="3" fillId="0" fontId="7" numFmtId="0" xfId="0" applyBorder="1" applyFont="1"/>
    <xf borderId="4" fillId="4" fontId="6" numFmtId="0" xfId="0" applyAlignment="1" applyBorder="1" applyFont="1">
      <alignment horizontal="center" readingOrder="0" shrinkToFit="0" wrapText="1"/>
    </xf>
    <xf borderId="5" fillId="0" fontId="6"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1"/>
    </xf>
    <xf borderId="0" fillId="0" fontId="8" numFmtId="0" xfId="0" applyAlignment="1" applyFont="1">
      <alignment horizontal="right" readingOrder="0" shrinkToFit="0" vertical="center" wrapText="1"/>
    </xf>
    <xf borderId="7" fillId="0" fontId="8" numFmtId="0" xfId="0" applyAlignment="1" applyBorder="1" applyFont="1">
      <alignment readingOrder="0" shrinkToFit="0" vertical="center" wrapText="1"/>
    </xf>
    <xf borderId="6" fillId="0" fontId="8" numFmtId="0" xfId="0" applyAlignment="1" applyBorder="1" applyFont="1">
      <alignment horizontal="center" readingOrder="0" shrinkToFit="0" vertical="center" wrapText="1"/>
    </xf>
    <xf borderId="0" fillId="0" fontId="8" numFmtId="0" xfId="0" applyAlignment="1" applyFont="1">
      <alignment horizontal="left" readingOrder="0" shrinkToFit="0" vertical="center" wrapText="1"/>
    </xf>
    <xf borderId="0" fillId="0" fontId="8" numFmtId="0" xfId="0" applyAlignment="1" applyFont="1">
      <alignment readingOrder="0" shrinkToFit="0" vertical="center" wrapText="1"/>
    </xf>
    <xf borderId="6" fillId="0" fontId="1" numFmtId="0" xfId="0" applyAlignment="1" applyBorder="1" applyFont="1">
      <alignment shrinkToFit="0" vertical="center" wrapText="1"/>
    </xf>
    <xf borderId="8" fillId="0" fontId="8" numFmtId="0" xfId="0" applyAlignment="1" applyBorder="1" applyFont="1">
      <alignment readingOrder="0" shrinkToFit="0" vertical="top" wrapText="1"/>
    </xf>
    <xf borderId="5" fillId="0" fontId="7" numFmtId="0" xfId="0" applyBorder="1" applyFont="1"/>
    <xf borderId="6" fillId="0" fontId="7" numFmtId="0" xfId="0" applyBorder="1" applyFont="1"/>
    <xf borderId="7" fillId="0" fontId="8" numFmtId="0" xfId="0" applyAlignment="1" applyBorder="1" applyFont="1">
      <alignment readingOrder="0" shrinkToFit="0" vertical="top" wrapText="1"/>
    </xf>
    <xf borderId="0" fillId="0" fontId="8" numFmtId="0" xfId="0" applyAlignment="1" applyFont="1">
      <alignment horizontal="right" shrinkToFit="0" vertical="center" wrapText="1"/>
    </xf>
    <xf borderId="7" fillId="0" fontId="6" numFmtId="0" xfId="0" applyAlignment="1" applyBorder="1" applyFont="1">
      <alignment readingOrder="0" shrinkToFit="0" vertical="center" wrapText="1"/>
    </xf>
    <xf borderId="7" fillId="0" fontId="6" numFmtId="0" xfId="0" applyAlignment="1" applyBorder="1" applyFont="1">
      <alignment readingOrder="0" shrinkToFit="0" vertical="top" wrapText="1"/>
    </xf>
    <xf borderId="0" fillId="0" fontId="8" numFmtId="0" xfId="0" applyAlignment="1" applyFont="1">
      <alignment horizontal="left" shrinkToFit="0" vertical="center" wrapText="1"/>
    </xf>
    <xf borderId="9" fillId="0" fontId="8" numFmtId="0" xfId="0" applyAlignment="1" applyBorder="1" applyFont="1">
      <alignment horizontal="right" readingOrder="0" shrinkToFit="0" vertical="center" wrapText="1"/>
    </xf>
    <xf borderId="9" fillId="0" fontId="1" numFmtId="0" xfId="0" applyAlignment="1" applyBorder="1" applyFont="1">
      <alignment shrinkToFit="0" vertical="center" wrapText="1"/>
    </xf>
    <xf borderId="10" fillId="0" fontId="7" numFmtId="0" xfId="0" applyBorder="1" applyFont="1"/>
    <xf borderId="9" fillId="0" fontId="8" numFmtId="0" xfId="0" applyAlignment="1" applyBorder="1" applyFont="1">
      <alignment horizontal="left" readingOrder="0" shrinkToFit="0" vertical="center" wrapText="1"/>
    </xf>
    <xf borderId="11" fillId="0" fontId="8" numFmtId="0" xfId="0" applyAlignment="1" applyBorder="1" applyFont="1">
      <alignment readingOrder="0" shrinkToFit="0" vertical="top" wrapText="1"/>
    </xf>
    <xf borderId="9" fillId="0" fontId="7" numFmtId="0" xfId="0" applyBorder="1" applyFont="1"/>
    <xf borderId="12" fillId="0" fontId="9" numFmtId="0" xfId="0" applyAlignment="1" applyBorder="1" applyFont="1">
      <alignment horizontal="center" readingOrder="0" shrinkToFit="0" vertical="center" wrapText="1"/>
    </xf>
    <xf borderId="13" fillId="0" fontId="9" numFmtId="0" xfId="0" applyAlignment="1" applyBorder="1" applyFont="1">
      <alignment horizontal="center" readingOrder="0" shrinkToFit="0" vertical="center" wrapText="1"/>
    </xf>
    <xf borderId="14" fillId="0" fontId="8" numFmtId="0" xfId="0" applyAlignment="1" applyBorder="1" applyFont="1">
      <alignment horizontal="right" readingOrder="0" shrinkToFit="0" vertical="center" wrapText="1"/>
    </xf>
    <xf borderId="8" fillId="0" fontId="8" numFmtId="0" xfId="0" applyAlignment="1" applyBorder="1" applyFont="1">
      <alignment readingOrder="0" shrinkToFit="0" vertical="center" wrapText="1"/>
    </xf>
    <xf borderId="13" fillId="0" fontId="8" numFmtId="0" xfId="0" applyAlignment="1" applyBorder="1" applyFont="1">
      <alignment horizontal="center" readingOrder="0" shrinkToFit="0" vertical="center" wrapText="1"/>
    </xf>
    <xf borderId="14" fillId="0" fontId="5" numFmtId="0" xfId="0" applyAlignment="1" applyBorder="1" applyFont="1">
      <alignment horizontal="left" readingOrder="0" shrinkToFit="0" vertical="center" wrapText="1"/>
    </xf>
    <xf borderId="13" fillId="0" fontId="10" numFmtId="0" xfId="0" applyAlignment="1" applyBorder="1" applyFont="1">
      <alignment horizontal="center" readingOrder="0" shrinkToFit="0" vertical="center" wrapText="1"/>
    </xf>
    <xf borderId="14" fillId="0" fontId="1" numFmtId="0" xfId="0" applyAlignment="1" applyBorder="1" applyFont="1">
      <alignment shrinkToFit="0" vertical="center" wrapText="1"/>
    </xf>
    <xf borderId="13" fillId="0" fontId="1" numFmtId="0" xfId="0" applyAlignment="1" applyBorder="1" applyFont="1">
      <alignment shrinkToFit="0" vertical="center" wrapText="1"/>
    </xf>
    <xf borderId="0" fillId="0" fontId="5" numFmtId="0" xfId="0" applyAlignment="1" applyFont="1">
      <alignment horizontal="left" readingOrder="0" shrinkToFit="0" vertical="center" wrapText="1"/>
    </xf>
    <xf borderId="7" fillId="0" fontId="8" numFmtId="0" xfId="0" applyAlignment="1" applyBorder="1" applyFont="1">
      <alignment horizontal="left" readingOrder="0" shrinkToFit="0" vertical="center" wrapText="1"/>
    </xf>
    <xf borderId="7" fillId="0" fontId="7" numFmtId="0" xfId="0" applyBorder="1" applyFont="1"/>
    <xf borderId="15" fillId="0" fontId="7" numFmtId="0" xfId="0" applyBorder="1" applyFont="1"/>
    <xf borderId="9" fillId="0" fontId="5" numFmtId="0" xfId="0" applyAlignment="1" applyBorder="1" applyFont="1">
      <alignment shrinkToFit="0" vertical="center" wrapText="1"/>
    </xf>
    <xf borderId="11" fillId="0" fontId="6" numFmtId="0" xfId="0" applyAlignment="1" applyBorder="1" applyFont="1">
      <alignment readingOrder="0" shrinkToFit="0" vertical="center" wrapText="1"/>
    </xf>
    <xf borderId="9" fillId="0" fontId="5" numFmtId="0" xfId="0" applyAlignment="1" applyBorder="1" applyFont="1">
      <alignment horizontal="left" shrinkToFit="0" vertical="center" wrapText="1"/>
    </xf>
    <xf borderId="11" fillId="0" fontId="7" numFmtId="0" xfId="0" applyBorder="1" applyFont="1"/>
    <xf borderId="5" fillId="0" fontId="9" numFmtId="0" xfId="0" applyAlignment="1" applyBorder="1" applyFont="1">
      <alignment horizontal="center" readingOrder="0" shrinkToFit="0" vertical="center" wrapText="1"/>
    </xf>
    <xf borderId="6" fillId="0" fontId="9" numFmtId="0" xfId="0" applyAlignment="1" applyBorder="1" applyFont="1">
      <alignment horizontal="center" readingOrder="0" shrinkToFit="0" vertical="center" wrapText="1"/>
    </xf>
    <xf borderId="6" fillId="0" fontId="10" numFmtId="0" xfId="0" applyAlignment="1" applyBorder="1" applyFont="1">
      <alignment horizontal="center" readingOrder="0" shrinkToFit="0" vertical="center" wrapText="1"/>
    </xf>
    <xf borderId="7" fillId="0" fontId="8" numFmtId="0" xfId="0" applyAlignment="1" applyBorder="1" applyFont="1">
      <alignment shrinkToFit="0" vertical="center" wrapText="1"/>
    </xf>
    <xf borderId="11" fillId="0" fontId="5" numFmtId="0" xfId="0" applyAlignment="1" applyBorder="1" applyFont="1">
      <alignment shrinkToFit="0" vertical="center" wrapText="1"/>
    </xf>
    <xf borderId="0" fillId="0" fontId="8" numFmtId="0" xfId="0" applyAlignment="1" applyFont="1">
      <alignment shrinkToFit="0" vertical="center" wrapText="1"/>
    </xf>
    <xf borderId="11" fillId="0" fontId="8" numFmtId="0" xfId="0" applyAlignment="1" applyBorder="1" applyFont="1">
      <alignment readingOrder="0" shrinkToFit="0" vertical="center" wrapText="1"/>
    </xf>
    <xf borderId="9" fillId="0" fontId="8" numFmtId="0" xfId="0" applyAlignment="1" applyBorder="1" applyFont="1">
      <alignment horizontal="left" shrinkToFit="0" vertical="center" wrapText="1"/>
    </xf>
    <xf borderId="9" fillId="0" fontId="8" numFmtId="0" xfId="0" applyAlignment="1" applyBorder="1" applyFont="1">
      <alignment shrinkToFit="0" vertical="center" wrapText="1"/>
    </xf>
    <xf borderId="13" fillId="0" fontId="6" numFmtId="0" xfId="0" applyAlignment="1" applyBorder="1" applyFont="1">
      <alignment horizontal="center" readingOrder="0" shrinkToFit="0" vertical="center" wrapText="1"/>
    </xf>
    <xf borderId="8" fillId="0" fontId="8" numFmtId="0" xfId="0" applyAlignment="1" applyBorder="1" applyFont="1">
      <alignment horizontal="left" readingOrder="0" shrinkToFit="0" vertical="center" wrapText="1"/>
    </xf>
    <xf borderId="14" fillId="0" fontId="8" numFmtId="0" xfId="0" applyAlignment="1" applyBorder="1" applyFont="1">
      <alignment horizontal="left" readingOrder="0" shrinkToFit="0" vertical="center" wrapText="1"/>
    </xf>
    <xf borderId="7" fillId="0" fontId="6" numFmtId="0" xfId="0" applyAlignment="1" applyBorder="1" applyFont="1">
      <alignment horizontal="left" readingOrder="0" shrinkToFit="0" vertical="center" wrapText="1"/>
    </xf>
    <xf borderId="11" fillId="0" fontId="8" numFmtId="0" xfId="0" applyAlignment="1" applyBorder="1" applyFont="1">
      <alignment horizontal="left" readingOrder="0" shrinkToFit="0" vertical="center" wrapText="1"/>
    </xf>
    <xf borderId="5" fillId="0" fontId="8" numFmtId="0" xfId="0" applyAlignment="1" applyBorder="1" applyFont="1">
      <alignment horizontal="right" readingOrder="0" shrinkToFit="0" vertical="top" wrapText="1"/>
    </xf>
    <xf borderId="5" fillId="0" fontId="8" numFmtId="0" xfId="0" applyAlignment="1" applyBorder="1" applyFont="1">
      <alignment horizontal="right" shrinkToFit="0" vertical="top" wrapText="1"/>
    </xf>
    <xf borderId="15" fillId="0" fontId="8" numFmtId="0" xfId="0" applyAlignment="1" applyBorder="1" applyFont="1">
      <alignment horizontal="right" shrinkToFit="0" vertical="top" wrapText="1"/>
    </xf>
    <xf borderId="11" fillId="0" fontId="6" numFmtId="0" xfId="0" applyAlignment="1" applyBorder="1" applyFont="1">
      <alignment readingOrder="0" shrinkToFit="0" vertical="top" wrapText="1"/>
    </xf>
    <xf borderId="0" fillId="0" fontId="1" numFmtId="0" xfId="0" applyFont="1"/>
    <xf borderId="0" fillId="0" fontId="1" numFmtId="167" xfId="0" applyAlignment="1" applyFont="1" applyNumberFormat="1">
      <alignment readingOrder="0"/>
    </xf>
    <xf borderId="0" fillId="2" fontId="11" numFmtId="0" xfId="0" applyAlignment="1" applyFont="1">
      <alignment horizontal="center" vertical="bottom"/>
    </xf>
    <xf borderId="0" fillId="5" fontId="12" numFmtId="0" xfId="0" applyAlignment="1" applyFill="1" applyFont="1">
      <alignment horizontal="center" vertical="bottom"/>
    </xf>
    <xf borderId="0" fillId="2" fontId="12" numFmtId="0" xfId="0" applyAlignment="1" applyFont="1">
      <alignment horizontal="center" readingOrder="0" vertical="bottom"/>
    </xf>
    <xf borderId="0" fillId="2" fontId="12" numFmtId="0" xfId="0" applyAlignment="1" applyFont="1">
      <alignment horizontal="center" vertical="bottom"/>
    </xf>
    <xf borderId="0" fillId="0" fontId="1" numFmtId="3" xfId="0" applyFont="1" applyNumberFormat="1"/>
    <xf borderId="0" fillId="0" fontId="12" numFmtId="0" xfId="0" applyAlignment="1" applyFont="1">
      <alignment horizontal="center" vertical="bottom"/>
    </xf>
    <xf borderId="0" fillId="6" fontId="12" numFmtId="0" xfId="0" applyAlignment="1" applyFill="1" applyFont="1">
      <alignment horizontal="center" vertical="bottom"/>
    </xf>
    <xf borderId="0" fillId="3" fontId="12" numFmtId="0" xfId="0" applyAlignment="1" applyFont="1">
      <alignment horizontal="center" vertical="bottom"/>
    </xf>
    <xf borderId="0" fillId="7" fontId="12" numFmtId="0" xfId="0" applyAlignment="1" applyFill="1" applyFont="1">
      <alignment horizontal="center" vertical="bottom"/>
    </xf>
    <xf borderId="0" fillId="0" fontId="12" numFmtId="0" xfId="0" applyAlignment="1" applyFont="1">
      <alignment horizontal="center" readingOrder="0" vertical="bottom"/>
    </xf>
    <xf borderId="0" fillId="7" fontId="12" numFmtId="0" xfId="0" applyAlignment="1" applyFont="1">
      <alignment horizontal="center" readingOrder="0" vertical="bottom"/>
    </xf>
    <xf borderId="0" fillId="3" fontId="12" numFmtId="0" xfId="0" applyAlignment="1" applyFont="1">
      <alignment horizontal="center" readingOrder="0" vertical="bottom"/>
    </xf>
    <xf borderId="0" fillId="2" fontId="1" numFmtId="3" xfId="0" applyAlignment="1" applyFont="1" applyNumberFormat="1">
      <alignment readingOrder="0"/>
    </xf>
    <xf borderId="0" fillId="8" fontId="12" numFmtId="0" xfId="0" applyAlignment="1" applyFill="1" applyFont="1">
      <alignment horizontal="center" readingOrder="0" vertical="bottom"/>
    </xf>
    <xf borderId="0" fillId="2" fontId="13" numFmtId="0" xfId="0" applyAlignment="1" applyFont="1">
      <alignment horizontal="center" readingOrder="0" vertical="bottom"/>
    </xf>
    <xf borderId="0" fillId="0" fontId="12" numFmtId="0" xfId="0" applyAlignment="1" applyFont="1">
      <alignment horizontal="center"/>
    </xf>
    <xf borderId="0" fillId="9" fontId="13" numFmtId="0" xfId="0" applyAlignment="1" applyFill="1" applyFont="1">
      <alignment horizontal="center" readingOrder="0"/>
    </xf>
    <xf borderId="0" fillId="2" fontId="12" numFmtId="0" xfId="0" applyAlignment="1" applyFont="1">
      <alignment horizontal="center" readingOrder="0"/>
    </xf>
    <xf borderId="0" fillId="7" fontId="12" numFmtId="0" xfId="0" applyAlignment="1" applyFont="1">
      <alignment horizontal="center"/>
    </xf>
    <xf borderId="0" fillId="3" fontId="12" numFmtId="0" xfId="0" applyAlignment="1" applyFont="1">
      <alignment horizontal="center" readingOrder="0"/>
    </xf>
    <xf borderId="0" fillId="3" fontId="14" numFmtId="0" xfId="0" applyAlignment="1" applyFont="1">
      <alignment horizontal="center" vertical="bottom"/>
    </xf>
    <xf borderId="0" fillId="0" fontId="1" numFmtId="0" xfId="0" applyAlignment="1" applyFont="1">
      <alignment horizontal="center" readingOrder="0"/>
    </xf>
    <xf borderId="13" fillId="10" fontId="15" numFmtId="0" xfId="0" applyAlignment="1" applyBorder="1" applyFill="1" applyFont="1">
      <alignment horizontal="center" readingOrder="0" vertical="center"/>
    </xf>
    <xf borderId="14" fillId="10" fontId="15" numFmtId="0" xfId="0" applyAlignment="1" applyBorder="1" applyFont="1">
      <alignment horizontal="center" readingOrder="0" vertical="center"/>
    </xf>
    <xf borderId="1" fillId="10" fontId="16" numFmtId="0" xfId="0" applyAlignment="1" applyBorder="1" applyFont="1">
      <alignment horizontal="center" readingOrder="0"/>
    </xf>
    <xf borderId="9" fillId="10" fontId="16" numFmtId="0" xfId="0" applyAlignment="1" applyBorder="1" applyFont="1">
      <alignment horizontal="center" readingOrder="0"/>
    </xf>
    <xf borderId="16" fillId="0" fontId="3" numFmtId="0" xfId="0" applyAlignment="1" applyBorder="1" applyFont="1">
      <alignment horizontal="center" readingOrder="0" shrinkToFit="0" wrapText="0"/>
    </xf>
    <xf borderId="17" fillId="0" fontId="3" numFmtId="0" xfId="0" applyAlignment="1" applyBorder="1" applyFont="1">
      <alignment horizontal="center" readingOrder="0" shrinkToFit="0" wrapText="0"/>
    </xf>
    <xf borderId="16" fillId="0" fontId="3" numFmtId="0" xfId="0" applyAlignment="1" applyBorder="1" applyFont="1">
      <alignment readingOrder="0" shrinkToFit="0" wrapText="0"/>
    </xf>
    <xf borderId="18" fillId="0" fontId="3" numFmtId="3" xfId="0" applyAlignment="1" applyBorder="1" applyFont="1" applyNumberFormat="1">
      <alignment readingOrder="0" shrinkToFit="0" wrapText="0"/>
    </xf>
    <xf borderId="19" fillId="0" fontId="3" numFmtId="0" xfId="0" applyAlignment="1" applyBorder="1" applyFont="1">
      <alignment horizontal="center" readingOrder="0" shrinkToFit="0" wrapText="0"/>
    </xf>
    <xf borderId="20" fillId="0" fontId="3" numFmtId="0" xfId="0" applyAlignment="1" applyBorder="1" applyFont="1">
      <alignment horizontal="center" readingOrder="0" shrinkToFit="0" wrapText="0"/>
    </xf>
    <xf borderId="19" fillId="0" fontId="3" numFmtId="0" xfId="0" applyAlignment="1" applyBorder="1" applyFont="1">
      <alignment readingOrder="0" shrinkToFit="0" wrapText="0"/>
    </xf>
    <xf borderId="21" fillId="0" fontId="3" numFmtId="3" xfId="0" applyAlignment="1" applyBorder="1" applyFont="1" applyNumberFormat="1">
      <alignment readingOrder="0" shrinkToFit="0" wrapText="0"/>
    </xf>
    <xf borderId="19" fillId="2" fontId="5" numFmtId="0" xfId="0" applyAlignment="1" applyBorder="1" applyFont="1">
      <alignment readingOrder="0" shrinkToFit="0" wrapText="0"/>
    </xf>
    <xf borderId="19" fillId="0" fontId="5" numFmtId="0" xfId="0" applyAlignment="1" applyBorder="1" applyFont="1">
      <alignment readingOrder="0" shrinkToFit="0" wrapText="0"/>
    </xf>
    <xf borderId="6" fillId="0" fontId="3" numFmtId="0" xfId="0" applyAlignment="1" applyBorder="1" applyFont="1">
      <alignment readingOrder="0" shrinkToFit="0" wrapText="0"/>
    </xf>
    <xf borderId="19" fillId="0" fontId="3" numFmtId="0" xfId="0" applyAlignment="1" applyBorder="1" applyFont="1">
      <alignment readingOrder="0" shrinkToFit="0" vertical="bottom" wrapText="0"/>
    </xf>
    <xf borderId="10" fillId="0" fontId="3" numFmtId="0" xfId="0" applyAlignment="1" applyBorder="1" applyFont="1">
      <alignment horizontal="center" readingOrder="0" shrinkToFit="0" wrapText="0"/>
    </xf>
    <xf borderId="9" fillId="0" fontId="3" numFmtId="0" xfId="0" applyAlignment="1" applyBorder="1" applyFont="1">
      <alignment horizontal="center" readingOrder="0" shrinkToFit="0" wrapText="0"/>
    </xf>
    <xf borderId="10" fillId="0" fontId="3" numFmtId="0" xfId="0" applyAlignment="1" applyBorder="1" applyFont="1">
      <alignment readingOrder="0" shrinkToFit="0" wrapText="0"/>
    </xf>
    <xf borderId="22" fillId="0" fontId="3" numFmtId="3" xfId="0" applyAlignment="1" applyBorder="1" applyFont="1" applyNumberFormat="1">
      <alignment readingOrder="0" shrinkToFit="0" wrapText="0"/>
    </xf>
    <xf borderId="23" fillId="0" fontId="3" numFmtId="0" xfId="0" applyAlignment="1" applyBorder="1" applyFont="1">
      <alignment readingOrder="0" shrinkToFit="0" wrapText="0"/>
    </xf>
    <xf borderId="0" fillId="2" fontId="11" numFmtId="0" xfId="0" applyAlignment="1" applyFont="1">
      <alignment horizontal="center"/>
    </xf>
    <xf borderId="0" fillId="5" fontId="12" numFmtId="0" xfId="0" applyAlignment="1" applyFont="1">
      <alignment horizontal="center"/>
    </xf>
    <xf borderId="0" fillId="2" fontId="12" numFmtId="0" xfId="0" applyAlignment="1" applyFont="1">
      <alignment horizontal="center"/>
    </xf>
    <xf borderId="0" fillId="0" fontId="12" numFmtId="3" xfId="0" applyAlignment="1" applyFont="1" applyNumberFormat="1">
      <alignment horizontal="right" vertical="bottom"/>
    </xf>
    <xf borderId="0" fillId="3" fontId="1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914400</xdr:colOff>
      <xdr:row>36</xdr:row>
      <xdr:rowOff>133350</xdr:rowOff>
    </xdr:from>
    <xdr:ext cx="9220200" cy="2724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34.0"/>
    <col customWidth="1" min="3" max="3" width="53.5"/>
  </cols>
  <sheetData>
    <row r="1">
      <c r="A1" s="1" t="s">
        <v>0</v>
      </c>
      <c r="B1" s="1" t="s">
        <v>1</v>
      </c>
      <c r="C1" s="1" t="s">
        <v>2</v>
      </c>
    </row>
    <row r="2">
      <c r="A2" s="1">
        <v>1.0</v>
      </c>
      <c r="B2" s="1" t="s">
        <v>3</v>
      </c>
      <c r="C2" s="1" t="s">
        <v>4</v>
      </c>
    </row>
    <row r="3">
      <c r="A3" s="1">
        <v>2.0</v>
      </c>
      <c r="B3" s="1" t="s">
        <v>5</v>
      </c>
      <c r="C3" s="1" t="s">
        <v>6</v>
      </c>
    </row>
    <row r="4">
      <c r="A4" s="1">
        <v>3.0</v>
      </c>
      <c r="B4" s="1" t="s">
        <v>7</v>
      </c>
      <c r="C4" s="1" t="s">
        <v>8</v>
      </c>
    </row>
    <row r="5">
      <c r="A5" s="1">
        <v>4.0</v>
      </c>
      <c r="B5" s="1" t="s">
        <v>9</v>
      </c>
      <c r="C5" s="1" t="s">
        <v>10</v>
      </c>
    </row>
    <row r="6">
      <c r="A6" s="1">
        <v>5.0</v>
      </c>
      <c r="B6" s="1" t="s">
        <v>11</v>
      </c>
      <c r="C6" s="1" t="s">
        <v>12</v>
      </c>
    </row>
    <row r="7">
      <c r="A7" s="1">
        <v>6.0</v>
      </c>
      <c r="B7" s="1" t="s">
        <v>13</v>
      </c>
      <c r="C7" s="1" t="s">
        <v>14</v>
      </c>
    </row>
    <row r="8">
      <c r="A8" s="1">
        <v>7.0</v>
      </c>
      <c r="B8" s="1" t="s">
        <v>15</v>
      </c>
      <c r="C8" s="2">
        <v>45341.0</v>
      </c>
    </row>
    <row r="9">
      <c r="A9" s="1">
        <v>8.0</v>
      </c>
      <c r="B9" s="1" t="s">
        <v>16</v>
      </c>
      <c r="C9" s="2">
        <v>45350.0</v>
      </c>
    </row>
    <row r="10">
      <c r="A10" s="1">
        <v>9.0</v>
      </c>
      <c r="B10" s="3" t="s">
        <v>17</v>
      </c>
      <c r="C10" s="3" t="s">
        <v>18</v>
      </c>
    </row>
    <row r="11">
      <c r="A11" s="1">
        <v>10.0</v>
      </c>
      <c r="B11" s="3" t="s">
        <v>19</v>
      </c>
      <c r="C11" s="3" t="s">
        <v>18</v>
      </c>
    </row>
    <row r="12">
      <c r="A12" s="1">
        <v>11.0</v>
      </c>
      <c r="B12" s="3" t="s">
        <v>20</v>
      </c>
      <c r="C12" s="3" t="s">
        <v>18</v>
      </c>
    </row>
    <row r="13">
      <c r="B13" s="1" t="s">
        <v>21</v>
      </c>
      <c r="C13" s="4">
        <v>45385.0</v>
      </c>
    </row>
    <row r="14">
      <c r="A14" s="1">
        <v>12.0</v>
      </c>
      <c r="B14" s="1" t="s">
        <v>22</v>
      </c>
      <c r="C14" s="1" t="s">
        <v>23</v>
      </c>
    </row>
    <row r="15">
      <c r="A15" s="1">
        <v>13.0</v>
      </c>
      <c r="B15" s="1" t="s">
        <v>24</v>
      </c>
      <c r="C15" s="1" t="s">
        <v>25</v>
      </c>
    </row>
    <row r="16">
      <c r="A16" s="1">
        <v>14.0</v>
      </c>
      <c r="B16" s="1" t="s">
        <v>26</v>
      </c>
      <c r="C16" s="1" t="s">
        <v>25</v>
      </c>
    </row>
    <row r="17">
      <c r="A17" s="1">
        <v>15.0</v>
      </c>
      <c r="B17" s="1" t="s">
        <v>27</v>
      </c>
      <c r="C17" s="1" t="s">
        <v>25</v>
      </c>
    </row>
    <row r="18">
      <c r="A18" s="1">
        <v>16.0</v>
      </c>
      <c r="B18" s="1" t="s">
        <v>28</v>
      </c>
      <c r="C18" s="1" t="s">
        <v>25</v>
      </c>
    </row>
    <row r="19">
      <c r="A19" s="1">
        <v>17.0</v>
      </c>
      <c r="B19" s="1" t="s">
        <v>29</v>
      </c>
      <c r="C19" s="1" t="s">
        <v>25</v>
      </c>
    </row>
    <row r="20">
      <c r="A20" s="1">
        <v>18.0</v>
      </c>
      <c r="B20" s="1" t="s">
        <v>30</v>
      </c>
      <c r="C20" s="1" t="s">
        <v>25</v>
      </c>
    </row>
    <row r="21">
      <c r="A21" s="1">
        <v>19.0</v>
      </c>
      <c r="B21" s="1" t="s">
        <v>31</v>
      </c>
      <c r="C21" s="1" t="s">
        <v>25</v>
      </c>
    </row>
    <row r="22">
      <c r="A22" s="1">
        <v>20.0</v>
      </c>
      <c r="B22" s="1" t="s">
        <v>32</v>
      </c>
      <c r="C22" s="1" t="s">
        <v>25</v>
      </c>
    </row>
    <row r="23">
      <c r="A23" s="1">
        <v>21.0</v>
      </c>
      <c r="B23" s="1" t="s">
        <v>33</v>
      </c>
      <c r="C23" s="1" t="s">
        <v>25</v>
      </c>
    </row>
    <row r="24">
      <c r="A24" s="1">
        <v>22.0</v>
      </c>
      <c r="B24" s="1" t="s">
        <v>34</v>
      </c>
      <c r="C24" s="1" t="s">
        <v>25</v>
      </c>
    </row>
    <row r="25">
      <c r="A25" s="1">
        <v>23.0</v>
      </c>
      <c r="B25" s="1" t="s">
        <v>35</v>
      </c>
      <c r="C25" s="1" t="s">
        <v>25</v>
      </c>
    </row>
    <row r="26">
      <c r="A26" s="1">
        <v>24.0</v>
      </c>
      <c r="B26" s="1" t="s">
        <v>36</v>
      </c>
      <c r="C26" s="1" t="s">
        <v>25</v>
      </c>
    </row>
    <row r="27">
      <c r="A27" s="1">
        <v>25.0</v>
      </c>
      <c r="B27" s="1" t="s">
        <v>37</v>
      </c>
      <c r="C27" s="1" t="s">
        <v>25</v>
      </c>
    </row>
    <row r="28">
      <c r="A28" s="1">
        <v>26.0</v>
      </c>
      <c r="B28" s="1" t="s">
        <v>38</v>
      </c>
      <c r="C28" s="1" t="s">
        <v>25</v>
      </c>
    </row>
    <row r="29">
      <c r="A29" s="1">
        <v>27.0</v>
      </c>
      <c r="B29" s="1" t="s">
        <v>39</v>
      </c>
      <c r="C29" s="1" t="s">
        <v>25</v>
      </c>
    </row>
    <row r="30">
      <c r="A30" s="1">
        <v>28.0</v>
      </c>
      <c r="B30" s="1" t="s">
        <v>40</v>
      </c>
      <c r="C30" s="1" t="s">
        <v>25</v>
      </c>
    </row>
    <row r="31">
      <c r="A31" s="1">
        <v>29.0</v>
      </c>
      <c r="B31" s="1" t="s">
        <v>41</v>
      </c>
      <c r="C31" s="1" t="s">
        <v>25</v>
      </c>
    </row>
    <row r="32">
      <c r="A32" s="1">
        <v>30.0</v>
      </c>
      <c r="B32" s="1" t="s">
        <v>42</v>
      </c>
      <c r="C32" s="1" t="s">
        <v>25</v>
      </c>
    </row>
    <row r="33">
      <c r="A33" s="1">
        <v>31.0</v>
      </c>
      <c r="B33" s="1" t="s">
        <v>43</v>
      </c>
      <c r="C33" s="1" t="s">
        <v>25</v>
      </c>
    </row>
    <row r="34">
      <c r="A34" s="1">
        <v>32.0</v>
      </c>
      <c r="B34" s="1" t="s">
        <v>44</v>
      </c>
      <c r="C34" s="1" t="s">
        <v>25</v>
      </c>
    </row>
    <row r="35">
      <c r="A35" s="1">
        <v>33.0</v>
      </c>
      <c r="B35" s="1" t="s">
        <v>45</v>
      </c>
      <c r="C35" s="1" t="s">
        <v>25</v>
      </c>
    </row>
    <row r="36">
      <c r="A36" s="1">
        <v>34.0</v>
      </c>
      <c r="B36" s="1" t="s">
        <v>46</v>
      </c>
      <c r="C36" s="1" t="s">
        <v>25</v>
      </c>
    </row>
    <row r="37">
      <c r="A37" s="1">
        <v>35.0</v>
      </c>
      <c r="B37" s="5" t="s">
        <v>47</v>
      </c>
      <c r="C37" s="1" t="s">
        <v>48</v>
      </c>
    </row>
    <row r="38">
      <c r="A38" s="1">
        <v>36.0</v>
      </c>
      <c r="B38" s="1" t="s">
        <v>49</v>
      </c>
      <c r="C38" s="1" t="s">
        <v>50</v>
      </c>
      <c r="D38" s="1" t="s">
        <v>51</v>
      </c>
    </row>
    <row r="39">
      <c r="A39" s="1">
        <v>37.0</v>
      </c>
      <c r="B39" s="1" t="s">
        <v>52</v>
      </c>
      <c r="C39" s="1" t="s">
        <v>53</v>
      </c>
      <c r="D39" s="1" t="s">
        <v>51</v>
      </c>
    </row>
    <row r="40">
      <c r="A40" s="1">
        <v>38.0</v>
      </c>
      <c r="B40" s="1" t="s">
        <v>54</v>
      </c>
      <c r="C40" s="2">
        <v>45581.0</v>
      </c>
    </row>
    <row r="41">
      <c r="A41" s="1">
        <v>39.0</v>
      </c>
      <c r="B41" s="1" t="s">
        <v>55</v>
      </c>
      <c r="C41" s="2">
        <v>45581.0</v>
      </c>
    </row>
    <row r="42">
      <c r="A42" s="1">
        <v>40.0</v>
      </c>
      <c r="B42" s="1" t="s">
        <v>56</v>
      </c>
      <c r="C42" s="2">
        <v>45581.0</v>
      </c>
    </row>
    <row r="43">
      <c r="A43" s="1">
        <v>41.0</v>
      </c>
      <c r="B43" s="1" t="s">
        <v>57</v>
      </c>
      <c r="C43" s="2">
        <v>45659.0</v>
      </c>
    </row>
    <row r="44">
      <c r="A44" s="1">
        <v>42.0</v>
      </c>
      <c r="B44" s="1" t="s">
        <v>58</v>
      </c>
      <c r="C44" s="1" t="s">
        <v>59</v>
      </c>
      <c r="D44" s="6">
        <v>189900.0</v>
      </c>
      <c r="E44" s="2">
        <v>45674.0</v>
      </c>
    </row>
    <row r="45">
      <c r="A45" s="1">
        <v>43.0</v>
      </c>
      <c r="B45" s="1" t="s">
        <v>58</v>
      </c>
      <c r="C45" s="1" t="s">
        <v>60</v>
      </c>
      <c r="D45" s="6">
        <v>189900.0</v>
      </c>
      <c r="E45" s="2">
        <v>45674.0</v>
      </c>
    </row>
    <row r="46">
      <c r="A46" s="1">
        <v>44.0</v>
      </c>
      <c r="B46" s="1" t="s">
        <v>58</v>
      </c>
      <c r="C46" s="1" t="s">
        <v>61</v>
      </c>
      <c r="D46" s="6">
        <v>189900.0</v>
      </c>
      <c r="E46" s="2">
        <v>45674.0</v>
      </c>
    </row>
    <row r="47">
      <c r="A47" s="1">
        <v>45.0</v>
      </c>
      <c r="B47" s="1" t="s">
        <v>62</v>
      </c>
      <c r="C47" s="2">
        <v>45688.0</v>
      </c>
      <c r="D47" s="1">
        <v>150700.0</v>
      </c>
    </row>
    <row r="48">
      <c r="A48" s="1">
        <v>46.0</v>
      </c>
      <c r="B48" s="1" t="s">
        <v>63</v>
      </c>
      <c r="C48" s="2">
        <v>45688.0</v>
      </c>
      <c r="D48" s="1">
        <v>114500.0</v>
      </c>
    </row>
    <row r="49">
      <c r="A49" s="1">
        <v>47.0</v>
      </c>
      <c r="B49" s="1" t="s">
        <v>64</v>
      </c>
      <c r="C49" s="2">
        <v>45688.0</v>
      </c>
      <c r="D49" s="1">
        <v>150700.0</v>
      </c>
    </row>
    <row r="50">
      <c r="A50" s="1">
        <v>48.0</v>
      </c>
      <c r="B50" s="1" t="s">
        <v>65</v>
      </c>
      <c r="C50" s="2">
        <v>45688.0</v>
      </c>
      <c r="D50" s="1">
        <v>64600.0</v>
      </c>
    </row>
    <row r="51">
      <c r="A51" s="1">
        <v>49.0</v>
      </c>
      <c r="B51" s="1" t="s">
        <v>66</v>
      </c>
      <c r="C51" s="2">
        <v>45688.0</v>
      </c>
      <c r="D51" s="1">
        <v>64600.0</v>
      </c>
    </row>
    <row r="52">
      <c r="A52" s="1">
        <v>50.0</v>
      </c>
      <c r="B52" s="1" t="s">
        <v>67</v>
      </c>
      <c r="C52" s="2">
        <v>45688.0</v>
      </c>
      <c r="D52" s="1">
        <v>64600.0</v>
      </c>
    </row>
    <row r="53">
      <c r="A53" s="1">
        <v>51.0</v>
      </c>
      <c r="B53" s="1" t="s">
        <v>68</v>
      </c>
      <c r="C53" s="2">
        <v>45688.0</v>
      </c>
      <c r="D53" s="1">
        <v>222700.0</v>
      </c>
    </row>
    <row r="54">
      <c r="A54" s="1">
        <v>52.0</v>
      </c>
      <c r="B54" s="1" t="s">
        <v>69</v>
      </c>
      <c r="C54" s="2">
        <v>45688.0</v>
      </c>
      <c r="D54" s="1">
        <v>150700.0</v>
      </c>
    </row>
    <row r="55">
      <c r="A55" s="1">
        <v>53.0</v>
      </c>
      <c r="B55" s="1" t="s">
        <v>70</v>
      </c>
      <c r="C55" s="2">
        <v>45688.0</v>
      </c>
      <c r="D55" s="1">
        <v>181300.0</v>
      </c>
    </row>
    <row r="56">
      <c r="A56" s="1">
        <v>54.0</v>
      </c>
      <c r="B56" s="1" t="s">
        <v>71</v>
      </c>
      <c r="C56" s="2">
        <v>45756.0</v>
      </c>
      <c r="D56" s="1">
        <v>222700.0</v>
      </c>
      <c r="E56" s="1" t="s">
        <v>72</v>
      </c>
    </row>
    <row r="57">
      <c r="A57" s="1">
        <v>55.0</v>
      </c>
      <c r="B57" s="1" t="s">
        <v>73</v>
      </c>
      <c r="C57" s="2">
        <v>45756.0</v>
      </c>
      <c r="D57" s="1">
        <v>150700.0</v>
      </c>
      <c r="E57" s="1" t="s">
        <v>74</v>
      </c>
    </row>
    <row r="58">
      <c r="A58" s="1">
        <v>56.0</v>
      </c>
      <c r="B58" s="1" t="s">
        <v>75</v>
      </c>
      <c r="C58" s="2">
        <v>45756.0</v>
      </c>
      <c r="D58" s="1">
        <v>150700.0</v>
      </c>
      <c r="E58" s="1" t="s">
        <v>74</v>
      </c>
    </row>
    <row r="59">
      <c r="A59" s="1">
        <v>57.0</v>
      </c>
      <c r="B59" s="1" t="s">
        <v>76</v>
      </c>
      <c r="C59" s="2">
        <v>45756.0</v>
      </c>
      <c r="D59" s="1">
        <v>181300.0</v>
      </c>
      <c r="E59" s="1" t="s">
        <v>74</v>
      </c>
    </row>
    <row r="60">
      <c r="A60" s="1">
        <v>58.0</v>
      </c>
      <c r="B60" s="1" t="s">
        <v>77</v>
      </c>
      <c r="C60" s="2">
        <v>45762.0</v>
      </c>
      <c r="D60" s="1">
        <v>15900.0</v>
      </c>
      <c r="E60" s="1" t="s">
        <v>72</v>
      </c>
    </row>
    <row r="61">
      <c r="A61" s="1">
        <v>59.0</v>
      </c>
      <c r="B61" s="1" t="s">
        <v>78</v>
      </c>
      <c r="C61" s="2">
        <v>45901.0</v>
      </c>
      <c r="D61" s="1">
        <v>44400.0</v>
      </c>
    </row>
    <row r="62">
      <c r="A62" s="1">
        <v>60.0</v>
      </c>
      <c r="B62" s="1" t="s">
        <v>79</v>
      </c>
      <c r="C62" s="2">
        <v>45901.0</v>
      </c>
      <c r="D62" s="1">
        <v>71700.0</v>
      </c>
    </row>
    <row r="63">
      <c r="B63" s="1" t="s">
        <v>80</v>
      </c>
      <c r="C63" s="7">
        <v>45936.0</v>
      </c>
      <c r="D63" s="1">
        <v>189900.0</v>
      </c>
    </row>
    <row r="64">
      <c r="B64" s="8" t="s">
        <v>81</v>
      </c>
      <c r="C64" s="7">
        <v>45936.0</v>
      </c>
      <c r="D64" s="1">
        <v>189900.0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5.63"/>
    <col customWidth="1" min="2" max="2" width="22.13"/>
    <col customWidth="1" hidden="1" min="3" max="3" width="3.38"/>
    <col customWidth="1" hidden="1" min="4" max="4" width="66.63"/>
    <col customWidth="1" hidden="1" min="5" max="5" width="35.13"/>
    <col customWidth="1" hidden="1" min="6" max="6" width="3.38"/>
    <col customWidth="1" hidden="1" min="7" max="7" width="57.63"/>
    <col customWidth="1" hidden="1" min="8" max="8" width="15.5"/>
    <col customWidth="1" min="9" max="9" width="3.0"/>
    <col customWidth="1" min="10" max="10" width="51.88"/>
    <col customWidth="1" min="11" max="11" width="31.5"/>
    <col customWidth="1" min="12" max="12" width="3.0"/>
    <col customWidth="1" min="13" max="13" width="51.38"/>
    <col customWidth="1" min="14" max="14" width="15.5"/>
    <col customWidth="1" hidden="1" min="15" max="15" width="39.5"/>
    <col customWidth="1" min="16" max="16" width="3.88"/>
    <col customWidth="1" min="17" max="17" width="40.88"/>
    <col customWidth="1" min="18" max="18" width="23.25"/>
    <col customWidth="1" min="19" max="19" width="17.63"/>
  </cols>
  <sheetData>
    <row r="1">
      <c r="A1" s="9" t="s">
        <v>82</v>
      </c>
      <c r="B1" s="10"/>
      <c r="C1" s="10"/>
      <c r="D1" s="10"/>
      <c r="E1" s="10"/>
      <c r="F1" s="10"/>
      <c r="G1" s="10"/>
      <c r="H1" s="10"/>
      <c r="I1" s="11"/>
      <c r="J1" s="11"/>
      <c r="K1" s="11"/>
      <c r="L1" s="11"/>
      <c r="M1" s="11"/>
      <c r="O1" s="11"/>
      <c r="P1" s="11"/>
      <c r="Q1" s="11"/>
      <c r="R1" s="11"/>
      <c r="S1" s="11"/>
      <c r="T1" s="11"/>
      <c r="U1" s="11"/>
      <c r="V1" s="11"/>
      <c r="W1" s="11"/>
      <c r="X1" s="11"/>
      <c r="Y1" s="11"/>
      <c r="Z1" s="11"/>
      <c r="AA1" s="11"/>
    </row>
    <row r="2">
      <c r="A2" s="12"/>
      <c r="B2" s="12"/>
      <c r="C2" s="12"/>
      <c r="D2" s="12"/>
      <c r="E2" s="12"/>
      <c r="F2" s="13"/>
      <c r="G2" s="12"/>
      <c r="H2" s="12"/>
      <c r="I2" s="11"/>
      <c r="J2" s="11"/>
      <c r="K2" s="11"/>
      <c r="L2" s="11"/>
      <c r="M2" s="11"/>
      <c r="N2" s="12"/>
      <c r="O2" s="11"/>
      <c r="P2" s="11"/>
      <c r="Q2" s="11"/>
      <c r="R2" s="11"/>
      <c r="S2" s="11"/>
      <c r="T2" s="11"/>
      <c r="U2" s="11"/>
      <c r="V2" s="11"/>
      <c r="W2" s="11"/>
      <c r="X2" s="11"/>
      <c r="Y2" s="11"/>
      <c r="Z2" s="11"/>
      <c r="AA2" s="11"/>
    </row>
    <row r="3">
      <c r="A3" s="14" t="s">
        <v>83</v>
      </c>
      <c r="B3" s="15" t="s">
        <v>84</v>
      </c>
      <c r="C3" s="16" t="s">
        <v>85</v>
      </c>
      <c r="D3" s="17"/>
      <c r="E3" s="18" t="s">
        <v>86</v>
      </c>
      <c r="F3" s="16" t="s">
        <v>87</v>
      </c>
      <c r="G3" s="17"/>
      <c r="H3" s="18" t="s">
        <v>88</v>
      </c>
      <c r="I3" s="16" t="s">
        <v>85</v>
      </c>
      <c r="J3" s="17"/>
      <c r="K3" s="15" t="s">
        <v>86</v>
      </c>
      <c r="L3" s="16" t="s">
        <v>87</v>
      </c>
      <c r="M3" s="17"/>
      <c r="N3" s="18" t="s">
        <v>88</v>
      </c>
      <c r="O3" s="16" t="s">
        <v>85</v>
      </c>
      <c r="P3" s="19"/>
      <c r="Q3" s="17"/>
      <c r="R3" s="15" t="s">
        <v>86</v>
      </c>
      <c r="S3" s="20" t="s">
        <v>88</v>
      </c>
      <c r="T3" s="11"/>
      <c r="U3" s="11"/>
      <c r="V3" s="11"/>
      <c r="W3" s="11"/>
      <c r="X3" s="11"/>
      <c r="Y3" s="11"/>
      <c r="Z3" s="11"/>
      <c r="AA3" s="11"/>
    </row>
    <row r="4">
      <c r="A4" s="21" t="s">
        <v>89</v>
      </c>
      <c r="B4" s="22" t="s">
        <v>90</v>
      </c>
      <c r="C4" s="23">
        <v>1.0</v>
      </c>
      <c r="D4" s="24" t="s">
        <v>91</v>
      </c>
      <c r="E4" s="25" t="s">
        <v>92</v>
      </c>
      <c r="F4" s="26">
        <v>1.0</v>
      </c>
      <c r="G4" s="27" t="s">
        <v>93</v>
      </c>
      <c r="H4" s="22" t="s">
        <v>94</v>
      </c>
      <c r="I4" s="23">
        <v>1.0</v>
      </c>
      <c r="J4" s="11" t="str">
        <f>IFERROR(__xludf.DUMMYFUNCTION("GOOGLETRANSLATE(D4,""ID"",""EN"")"),"Distributors fill out the SPARTA Commitment Program commitment form")</f>
        <v>Distributors fill out the SPARTA Commitment Program commitment form</v>
      </c>
      <c r="K4" s="28" t="str">
        <f>IFERROR(__xludf.DUMMYFUNCTION("GOOGLETRANSLATE(E4,""ID"",""EN"")"),"Distributors and Customers are free to determine commissions as long as they are within the limits: Shopping Vouchers, Electronics, Furniture, Basic Needs, Tours")</f>
        <v>Distributors and Customers are free to determine commissions as long as they are within the limits: Shopping Vouchers, Electronics, Furniture, Basic Needs, Tours</v>
      </c>
      <c r="L4" s="26">
        <v>1.0</v>
      </c>
      <c r="M4" s="11" t="str">
        <f>IFERROR(__xludf.DUMMYFUNCTION("GOOGLETRANSLATE(G4,""ID"",""EN"")"),"Customers fill out the SPARTA Commitment Program participation form and are free to determine the commission,")</f>
        <v>Customers fill out the SPARTA Commitment Program participation form and are free to determine the commission,</v>
      </c>
      <c r="N4" s="22" t="s">
        <v>94</v>
      </c>
      <c r="O4" s="29" t="s">
        <v>91</v>
      </c>
      <c r="P4" s="26">
        <v>1.0</v>
      </c>
      <c r="Q4" s="11" t="str">
        <f>IFERROR(__xludf.DUMMYFUNCTION("GOOGLETRANSLATE(O4,""ID"",""EN"")"),"Distributors fill out the SPARTA Commitment Program commitment form")</f>
        <v>Distributors fill out the SPARTA Commitment Program commitment form</v>
      </c>
      <c r="R4" s="11" t="s">
        <v>95</v>
      </c>
      <c r="S4" s="22" t="s">
        <v>96</v>
      </c>
      <c r="T4" s="11"/>
      <c r="U4" s="11"/>
      <c r="V4" s="11"/>
      <c r="W4" s="11"/>
      <c r="X4" s="11"/>
      <c r="Y4" s="11"/>
      <c r="Z4" s="11"/>
      <c r="AA4" s="11"/>
    </row>
    <row r="5">
      <c r="A5" s="30"/>
      <c r="B5" s="31"/>
      <c r="C5" s="23">
        <v>2.0</v>
      </c>
      <c r="D5" s="24" t="s">
        <v>97</v>
      </c>
      <c r="E5" s="31"/>
      <c r="F5" s="26">
        <v>2.0</v>
      </c>
      <c r="G5" s="27" t="s">
        <v>98</v>
      </c>
      <c r="H5" s="31"/>
      <c r="I5" s="23">
        <v>2.0</v>
      </c>
      <c r="J5" s="11" t="str">
        <f>IFERROR(__xludf.DUMMYFUNCTION("GOOGLETRANSLATE(D5,""ID"",""EN"")"),"The Distributor makes a proposal for the SPARTA Commitment program for the Jan-Mar 2025 period with a mechanism determined by the Distributor.")</f>
        <v>The Distributor makes a proposal for the SPARTA Commitment program for the Jan-Mar 2025 period with a mechanism determined by the Distributor.</v>
      </c>
      <c r="K5" s="31"/>
      <c r="L5" s="26">
        <v>2.0</v>
      </c>
      <c r="M5" s="11" t="str">
        <f>IFERROR(__xludf.DUMMYFUNCTION("GOOGLETRANSLATE(G5,""ID"",""EN"")"),"Commission purchase methods:
- Distributors purchase commissions themselves
- Distributors purchase through Niterra")</f>
        <v>Commission purchase methods:
- Distributors purchase commissions themselves
- Distributors purchase through Niterra</v>
      </c>
      <c r="N5" s="31"/>
      <c r="O5" s="32" t="s">
        <v>99</v>
      </c>
      <c r="P5" s="26">
        <v>2.0</v>
      </c>
      <c r="Q5" s="11" t="str">
        <f>IFERROR(__xludf.DUMMYFUNCTION("GOOGLETRANSLATE(O5,""ID"",""EN"")"),"The Distributor makes a proposal for the SPARTA Commitment program for the period Apr - Dec 2025 with a mechanism determined by the Distributor.")</f>
        <v>The Distributor makes a proposal for the SPARTA Commitment program for the period Apr - Dec 2025 with a mechanism determined by the Distributor.</v>
      </c>
      <c r="S5" s="31"/>
      <c r="T5" s="11"/>
      <c r="U5" s="11"/>
      <c r="V5" s="11"/>
      <c r="W5" s="11"/>
      <c r="X5" s="11"/>
      <c r="Y5" s="11"/>
      <c r="Z5" s="11"/>
      <c r="AA5" s="11"/>
    </row>
    <row r="6">
      <c r="A6" s="30"/>
      <c r="B6" s="31"/>
      <c r="C6" s="23">
        <v>3.0</v>
      </c>
      <c r="D6" s="24" t="s">
        <v>100</v>
      </c>
      <c r="E6" s="31"/>
      <c r="F6" s="26">
        <v>3.0</v>
      </c>
      <c r="G6" s="27" t="s">
        <v>101</v>
      </c>
      <c r="H6" s="31"/>
      <c r="I6" s="23">
        <v>3.0</v>
      </c>
      <c r="J6" s="11" t="str">
        <f>IFERROR(__xludf.DUMMYFUNCTION("GOOGLETRANSLATE(D6,""ID"",""EN"")"),"Niterra provides program support based on the quantity of POs from Distributors to Niterra during the program period which is calculated based on the achievement of both Quantity and Nominal Targets,")</f>
        <v>Niterra provides program support based on the quantity of POs from Distributors to Niterra during the program period which is calculated based on the achievement of both Quantity and Nominal Targets,</v>
      </c>
      <c r="K6" s="31"/>
      <c r="L6" s="26">
        <v>3.0</v>
      </c>
      <c r="M6" s="11" t="str">
        <f>IFERROR(__xludf.DUMMYFUNCTION("GOOGLETRANSLATE(G6,""ID"",""EN"")"),"Distributors are required to understand the Report and Evaluation policy in the Official Letter,")</f>
        <v>Distributors are required to understand the Report and Evaluation policy in the Official Letter,</v>
      </c>
      <c r="N6" s="31"/>
      <c r="O6" s="32" t="s">
        <v>100</v>
      </c>
      <c r="P6" s="26">
        <v>3.0</v>
      </c>
      <c r="Q6" s="11" t="str">
        <f>IFERROR(__xludf.DUMMYFUNCTION("GOOGLETRANSLATE(O6,""ID"",""EN"")"),"Niterra provides program support based on the quantity of POs from Distributors to Niterra during the program period which is calculated based on the achievement of both Quantity and Nominal Targets,")</f>
        <v>Niterra provides program support based on the quantity of POs from Distributors to Niterra during the program period which is calculated based on the achievement of both Quantity and Nominal Targets,</v>
      </c>
      <c r="S6" s="31"/>
      <c r="T6" s="11"/>
      <c r="U6" s="11"/>
      <c r="V6" s="11"/>
      <c r="W6" s="11"/>
      <c r="X6" s="11"/>
      <c r="Y6" s="11"/>
      <c r="Z6" s="11"/>
      <c r="AA6" s="11"/>
    </row>
    <row r="7">
      <c r="A7" s="30"/>
      <c r="B7" s="31"/>
      <c r="C7" s="23">
        <v>4.0</v>
      </c>
      <c r="D7" s="24" t="s">
        <v>102</v>
      </c>
      <c r="E7" s="31"/>
      <c r="F7" s="26">
        <v>4.0</v>
      </c>
      <c r="G7" s="27" t="s">
        <v>103</v>
      </c>
      <c r="H7" s="31"/>
      <c r="I7" s="23">
        <v>4.0</v>
      </c>
      <c r="J7" s="11" t="str">
        <f>IFERROR(__xludf.DUMMYFUNCTION("GOOGLETRANSLATE(D7,""ID"",""EN"")"),"Niterra will provide commission for Total PO Jan - Mar 2025 (IDR/pcs)")</f>
        <v>Niterra will provide commission for Total PO Jan - Mar 2025 (IDR/pcs)</v>
      </c>
      <c r="K7" s="31"/>
      <c r="L7" s="26">
        <v>4.0</v>
      </c>
      <c r="M7" s="11" t="str">
        <f>IFERROR(__xludf.DUMMYFUNCTION("GOOGLETRANSLATE(G7,""ID"",""EN"")"),"Niterra will process payments and purchases if all documents are complete,")</f>
        <v>Niterra will process payments and purchases if all documents are complete,</v>
      </c>
      <c r="N7" s="31"/>
      <c r="O7" s="32" t="s">
        <v>104</v>
      </c>
      <c r="P7" s="26">
        <v>4.0</v>
      </c>
      <c r="Q7" s="11" t="str">
        <f>IFERROR(__xludf.DUMMYFUNCTION("GOOGLETRANSLATE(O7,""ID"",""EN"")"),"Niterra will provide commission for Total PO Apr - Dec 2025 (IDR/pcs)")</f>
        <v>Niterra will provide commission for Total PO Apr - Dec 2025 (IDR/pcs)</v>
      </c>
      <c r="S7" s="31"/>
      <c r="T7" s="11"/>
      <c r="U7" s="11"/>
      <c r="V7" s="11"/>
      <c r="W7" s="11"/>
      <c r="X7" s="11"/>
      <c r="Y7" s="11"/>
      <c r="Z7" s="11"/>
      <c r="AA7" s="11"/>
    </row>
    <row r="8">
      <c r="A8" s="30"/>
      <c r="B8" s="31"/>
      <c r="C8" s="33"/>
      <c r="D8" s="34" t="s">
        <v>105</v>
      </c>
      <c r="E8" s="31"/>
      <c r="F8" s="26">
        <v>5.0</v>
      </c>
      <c r="G8" s="26" t="s">
        <v>106</v>
      </c>
      <c r="H8" s="31"/>
      <c r="I8" s="33"/>
      <c r="J8" s="11" t="str">
        <f>IFERROR(__xludf.DUMMYFUNCTION("GOOGLETRANSLATE(D8,""ID"",""EN"")"),"105% : C7 &amp; 4W Ni 1,100 | Other 2W Ni 800")</f>
        <v>105% : C7 &amp; 4W Ni 1,100 | Other 2W Ni 800</v>
      </c>
      <c r="K8" s="31"/>
      <c r="L8" s="26">
        <v>5.0</v>
      </c>
      <c r="M8" s="11" t="str">
        <f>IFERROR(__xludf.DUMMYFUNCTION("GOOGLETRANSLATE(G8,""ID"",""EN"")"),"Distributors are required to submit commission calculations and claim program benefits within three months of the program's end. If the deadline is exceeded, the distributor will not be eligible for commission claims.")</f>
        <v>Distributors are required to submit commission calculations and claim program benefits within three months of the program's end. If the deadline is exceeded, the distributor will not be eligible for commission claims.</v>
      </c>
      <c r="N8" s="31"/>
      <c r="O8" s="35" t="s">
        <v>107</v>
      </c>
      <c r="P8" s="26">
        <v>5.0</v>
      </c>
      <c r="Q8" s="11" t="str">
        <f>IFERROR(__xludf.DUMMYFUNCTION("GOOGLETRANSLATE(O8,""ID"",""EN"")"),"105% : IDR 600")</f>
        <v>105% : IDR 600</v>
      </c>
      <c r="S8" s="31"/>
      <c r="T8" s="11"/>
      <c r="U8" s="11"/>
      <c r="V8" s="11"/>
      <c r="W8" s="11"/>
      <c r="X8" s="11"/>
      <c r="Y8" s="11"/>
      <c r="Z8" s="11"/>
      <c r="AA8" s="11"/>
    </row>
    <row r="9">
      <c r="A9" s="30"/>
      <c r="B9" s="31"/>
      <c r="C9" s="33"/>
      <c r="D9" s="34" t="s">
        <v>108</v>
      </c>
      <c r="E9" s="31"/>
      <c r="F9" s="36"/>
      <c r="H9" s="31"/>
      <c r="I9" s="33"/>
      <c r="J9" s="11" t="str">
        <f>IFERROR(__xludf.DUMMYFUNCTION("GOOGLETRANSLATE(D9,""ID"",""EN"")"),"100% - 104% : C7 &amp; 4W Ni 1,000 | Other 2W Ni 700")</f>
        <v>100% - 104% : C7 &amp; 4W Ni 1,000 | Other 2W Ni 700</v>
      </c>
      <c r="K9" s="31"/>
      <c r="L9" s="36"/>
      <c r="M9" s="11"/>
      <c r="N9" s="31"/>
      <c r="O9" s="35" t="s">
        <v>109</v>
      </c>
      <c r="P9" s="36"/>
      <c r="Q9" s="11" t="str">
        <f>IFERROR(__xludf.DUMMYFUNCTION("GOOGLETRANSLATE(O9,""ID"",""EN"")"),"100% - 104% : IDR 500")</f>
        <v>100% - 104% : IDR 500</v>
      </c>
      <c r="S9" s="31"/>
      <c r="T9" s="11"/>
      <c r="U9" s="11"/>
      <c r="V9" s="11"/>
      <c r="W9" s="11"/>
      <c r="X9" s="11"/>
      <c r="Y9" s="11"/>
      <c r="Z9" s="11"/>
      <c r="AA9" s="11"/>
    </row>
    <row r="10">
      <c r="A10" s="30"/>
      <c r="B10" s="31"/>
      <c r="C10" s="33"/>
      <c r="D10" s="24" t="s">
        <v>110</v>
      </c>
      <c r="E10" s="31"/>
      <c r="F10" s="36"/>
      <c r="H10" s="31"/>
      <c r="I10" s="33"/>
      <c r="J10" s="11" t="str">
        <f>IFERROR(__xludf.DUMMYFUNCTION("GOOGLETRANSLATE(D10,""ID"",""EN"")"),"95% - 99%: C7 &amp; 4W Ni 700 | Other 2W Ni 600")</f>
        <v>95% - 99%: C7 &amp; 4W Ni 700 | Other 2W Ni 600</v>
      </c>
      <c r="K10" s="31"/>
      <c r="L10" s="36"/>
      <c r="M10" s="11"/>
      <c r="N10" s="31"/>
      <c r="O10" s="35" t="s">
        <v>111</v>
      </c>
      <c r="P10" s="36"/>
      <c r="Q10" s="11" t="str">
        <f>IFERROR(__xludf.DUMMYFUNCTION("GOOGLETRANSLATE(O10,""ID"",""EN"")"),"95% - 99%: IDR 400")</f>
        <v>95% - 99%: IDR 400</v>
      </c>
      <c r="S10" s="31"/>
      <c r="T10" s="11"/>
      <c r="U10" s="11"/>
      <c r="V10" s="11"/>
      <c r="W10" s="11"/>
      <c r="X10" s="11"/>
      <c r="Y10" s="11"/>
      <c r="Z10" s="11"/>
      <c r="AA10" s="11"/>
    </row>
    <row r="11">
      <c r="A11" s="30"/>
      <c r="B11" s="31"/>
      <c r="C11" s="33"/>
      <c r="D11" s="34" t="s">
        <v>112</v>
      </c>
      <c r="E11" s="31"/>
      <c r="F11" s="36"/>
      <c r="H11" s="31"/>
      <c r="I11" s="33"/>
      <c r="J11" s="11" t="str">
        <f>IFERROR(__xludf.DUMMYFUNCTION("GOOGLETRANSLATE(D11,""ID"",""EN"")"),"85% - 94% : C7 &amp; 4W Ni 500 | Other 2W Ni 500")</f>
        <v>85% - 94% : C7 &amp; 4W Ni 500 | Other 2W Ni 500</v>
      </c>
      <c r="K11" s="31"/>
      <c r="L11" s="36"/>
      <c r="M11" s="11"/>
      <c r="N11" s="31"/>
      <c r="O11" s="35" t="s">
        <v>113</v>
      </c>
      <c r="P11" s="36"/>
      <c r="Q11" s="11" t="str">
        <f>IFERROR(__xludf.DUMMYFUNCTION("GOOGLETRANSLATE(O11,""ID"",""EN"")"),"85% - 94% : IDR 300")</f>
        <v>85% - 94% : IDR 300</v>
      </c>
      <c r="S11" s="31"/>
      <c r="T11" s="11"/>
      <c r="U11" s="11"/>
      <c r="V11" s="11"/>
      <c r="W11" s="11"/>
      <c r="X11" s="11"/>
      <c r="Y11" s="11"/>
      <c r="Z11" s="11"/>
      <c r="AA11" s="11"/>
    </row>
    <row r="12">
      <c r="A12" s="30"/>
      <c r="B12" s="31"/>
      <c r="C12" s="23">
        <v>5.0</v>
      </c>
      <c r="D12" s="24" t="s">
        <v>114</v>
      </c>
      <c r="E12" s="31"/>
      <c r="F12" s="26">
        <v>6.0</v>
      </c>
      <c r="G12" s="27" t="s">
        <v>115</v>
      </c>
      <c r="H12" s="31"/>
      <c r="I12" s="37">
        <v>5.0</v>
      </c>
      <c r="J12" s="38" t="str">
        <f>IFERROR(__xludf.DUMMYFUNCTION("GOOGLETRANSLATE(D12,""ID"",""EN"")"),"Distributors are not entitled to commissions if they do not open a PO in a given month during the program period. If a distributor does not open a PO with Niterra, the commission fee for the customer will be borne by the distributor.")</f>
        <v>Distributors are not entitled to commissions if they do not open a PO in a given month during the program period. If a distributor does not open a PO with Niterra, the commission fee for the customer will be borne by the distributor.</v>
      </c>
      <c r="K12" s="39"/>
      <c r="L12" s="40">
        <v>6.0</v>
      </c>
      <c r="M12" s="38" t="str">
        <f>IFERROR(__xludf.DUMMYFUNCTION("GOOGLETRANSLATE(G12,""ID"",""EN"")"),"The purchasing mechanism and types of documents that must be completed are attached to the Official Letter,")</f>
        <v>The purchasing mechanism and types of documents that must be completed are attached to the Official Letter,</v>
      </c>
      <c r="N12" s="39"/>
      <c r="O12" s="41" t="s">
        <v>114</v>
      </c>
      <c r="P12" s="40">
        <v>6.0</v>
      </c>
      <c r="Q12" s="38" t="str">
        <f>IFERROR(__xludf.DUMMYFUNCTION("GOOGLETRANSLATE(O12,""ID"",""EN"")"),"Distributors are not entitled to commissions if they do not open a PO in a given month during the program period. If a distributor does not open a PO with Niterra, the commission fee for the customer will be borne by the distributor.")</f>
        <v>Distributors are not entitled to commissions if they do not open a PO in a given month during the program period. If a distributor does not open a PO with Niterra, the commission fee for the customer will be borne by the distributor.</v>
      </c>
      <c r="R12" s="42"/>
      <c r="S12" s="39"/>
      <c r="T12" s="11"/>
      <c r="U12" s="11"/>
      <c r="V12" s="11"/>
      <c r="W12" s="11"/>
      <c r="X12" s="11"/>
      <c r="Y12" s="11"/>
      <c r="Z12" s="11"/>
      <c r="AA12" s="11"/>
    </row>
    <row r="13">
      <c r="A13" s="43" t="s">
        <v>89</v>
      </c>
      <c r="B13" s="44" t="s">
        <v>116</v>
      </c>
      <c r="C13" s="45">
        <v>1.0</v>
      </c>
      <c r="D13" s="46" t="s">
        <v>117</v>
      </c>
      <c r="E13" s="47" t="s">
        <v>118</v>
      </c>
      <c r="F13" s="48">
        <v>1.0</v>
      </c>
      <c r="G13" s="46" t="s">
        <v>119</v>
      </c>
      <c r="H13" s="49" t="s">
        <v>94</v>
      </c>
      <c r="I13" s="45">
        <v>1.0</v>
      </c>
      <c r="J13" s="50" t="str">
        <f>IFERROR(__xludf.DUMMYFUNCTION("GOOGLETRANSLATE(D13,""ID"",""EN"")"),"The program is given to Distributors who open PO Busi Precious Metal MINIMUM 85% of the monthly target Quantity in January - March 2025,")</f>
        <v>The program is given to Distributors who open PO Busi Precious Metal MINIMUM 85% of the monthly target Quantity in January - March 2025,</v>
      </c>
      <c r="K13" s="51" t="str">
        <f>IFERROR(__xludf.DUMMYFUNCTION("GOOGLETRANSLATE(E13,""ID"",""EN"")"),"Shopping Voucher @ Rp. 25,000 per 1 package.")</f>
        <v>Shopping Voucher @ Rp. 25,000 per 1 package.</v>
      </c>
      <c r="L13" s="48">
        <v>1.0</v>
      </c>
      <c r="M13" s="50" t="str">
        <f>IFERROR(__xludf.DUMMYFUNCTION("GOOGLETRANSLATE(G13,""ID"",""EN"")"),"Niterra will calculate the shopping voucher commission based on the program package &amp; policies.")</f>
        <v>Niterra will calculate the shopping voucher commission based on the program package &amp; policies.</v>
      </c>
      <c r="N13" s="49" t="s">
        <v>94</v>
      </c>
      <c r="O13" s="11"/>
      <c r="P13" s="11"/>
      <c r="Q13" s="11"/>
      <c r="R13" s="11"/>
      <c r="S13" s="11"/>
      <c r="T13" s="11"/>
      <c r="U13" s="11"/>
      <c r="V13" s="11"/>
      <c r="W13" s="11"/>
      <c r="X13" s="11"/>
      <c r="Y13" s="11"/>
      <c r="Z13" s="11"/>
      <c r="AA13" s="11"/>
    </row>
    <row r="14">
      <c r="A14" s="30"/>
      <c r="B14" s="31"/>
      <c r="C14" s="23">
        <v>2.0</v>
      </c>
      <c r="D14" s="24" t="s">
        <v>120</v>
      </c>
      <c r="E14" s="31"/>
      <c r="F14" s="52">
        <v>2.0</v>
      </c>
      <c r="G14" s="53" t="s">
        <v>121</v>
      </c>
      <c r="H14" s="31"/>
      <c r="I14" s="23">
        <v>2.0</v>
      </c>
      <c r="J14" s="11" t="str">
        <f>IFERROR(__xludf.DUMMYFUNCTION("GOOGLETRANSLATE(D14,""ID"",""EN"")"),"The program packages are as follows: (multiples apply)")</f>
        <v>The program packages are as follows: (multiples apply)</v>
      </c>
      <c r="K14" s="31"/>
      <c r="L14" s="52">
        <v>2.0</v>
      </c>
      <c r="M14" s="11" t="str">
        <f>IFERROR(__xludf.DUMMYFUNCTION("GOOGLETRANSLATE(G14,""ID"",""EN"")"),"Distributors submit sales reports on this program for each customer.")</f>
        <v>Distributors submit sales reports on this program for each customer.</v>
      </c>
      <c r="N14" s="31"/>
      <c r="O14" s="11"/>
      <c r="P14" s="11"/>
      <c r="Q14" s="11"/>
      <c r="R14" s="11"/>
      <c r="S14" s="11"/>
      <c r="T14" s="11"/>
      <c r="U14" s="11"/>
      <c r="V14" s="11"/>
      <c r="W14" s="11"/>
      <c r="X14" s="11"/>
      <c r="Y14" s="11"/>
      <c r="Z14" s="11"/>
      <c r="AA14" s="11"/>
    </row>
    <row r="15">
      <c r="A15" s="30"/>
      <c r="B15" s="31"/>
      <c r="C15" s="12"/>
      <c r="D15" s="34" t="s">
        <v>122</v>
      </c>
      <c r="E15" s="31"/>
      <c r="F15" s="13"/>
      <c r="G15" s="54"/>
      <c r="H15" s="31"/>
      <c r="I15" s="12"/>
      <c r="J15" s="11" t="str">
        <f>IFERROR(__xludf.DUMMYFUNCTION("GOOGLETRANSLATE(D15,""ID"",""EN"")"),"- 20 pcs G-Power Type")</f>
        <v>- 20 pcs G-Power Type</v>
      </c>
      <c r="K15" s="31"/>
      <c r="L15" s="13"/>
      <c r="M15" s="11"/>
      <c r="N15" s="31"/>
      <c r="O15" s="11"/>
      <c r="P15" s="11"/>
      <c r="Q15" s="11"/>
      <c r="R15" s="11"/>
      <c r="S15" s="11"/>
      <c r="T15" s="11"/>
      <c r="U15" s="11"/>
      <c r="V15" s="11"/>
      <c r="W15" s="11"/>
      <c r="X15" s="11"/>
      <c r="Y15" s="11"/>
      <c r="Z15" s="11"/>
      <c r="AA15" s="11"/>
    </row>
    <row r="16">
      <c r="A16" s="55"/>
      <c r="B16" s="39"/>
      <c r="C16" s="56"/>
      <c r="D16" s="57" t="s">
        <v>123</v>
      </c>
      <c r="E16" s="39"/>
      <c r="F16" s="58"/>
      <c r="G16" s="59"/>
      <c r="H16" s="39"/>
      <c r="I16" s="56"/>
      <c r="J16" s="38" t="str">
        <f>IFERROR(__xludf.DUMMYFUNCTION("GOOGLETRANSLATE(D16,""ID"",""EN"")"),"- 12 pcs IX, PL, IL Type")</f>
        <v>- 12 pcs IX, PL, IL Type</v>
      </c>
      <c r="K16" s="39"/>
      <c r="L16" s="58"/>
      <c r="M16" s="38"/>
      <c r="N16" s="39"/>
      <c r="O16" s="11"/>
      <c r="P16" s="11"/>
      <c r="Q16" s="11"/>
      <c r="R16" s="11"/>
      <c r="S16" s="11"/>
      <c r="T16" s="11"/>
      <c r="U16" s="11"/>
      <c r="V16" s="11"/>
      <c r="W16" s="11"/>
      <c r="X16" s="11"/>
      <c r="Y16" s="11"/>
      <c r="Z16" s="11"/>
      <c r="AA16" s="11"/>
    </row>
    <row r="17">
      <c r="A17" s="60" t="s">
        <v>124</v>
      </c>
      <c r="B17" s="61" t="s">
        <v>125</v>
      </c>
      <c r="C17" s="23">
        <v>1.0</v>
      </c>
      <c r="D17" s="24" t="s">
        <v>126</v>
      </c>
      <c r="E17" s="25" t="s">
        <v>118</v>
      </c>
      <c r="F17" s="52">
        <v>1.0</v>
      </c>
      <c r="G17" s="24" t="s">
        <v>119</v>
      </c>
      <c r="H17" s="62" t="s">
        <v>94</v>
      </c>
      <c r="I17" s="23">
        <v>1.0</v>
      </c>
      <c r="J17" s="11" t="str">
        <f>IFERROR(__xludf.DUMMYFUNCTION("GOOGLETRANSLATE(D17,""ID"",""EN"")"),"The program is given to Distributors who open PO DCPR7EA-9 and LKAR6AGP in July - Sep 2024,")</f>
        <v>The program is given to Distributors who open PO DCPR7EA-9 and LKAR6AGP in July - Sep 2024,</v>
      </c>
      <c r="K17" s="28" t="str">
        <f>IFERROR(__xludf.DUMMYFUNCTION("GOOGLETRANSLATE(E17,""ID"",""EN"")"),"Shopping Voucher @ Rp. 25,000 per 1 package.")</f>
        <v>Shopping Voucher @ Rp. 25,000 per 1 package.</v>
      </c>
      <c r="L17" s="52">
        <v>1.0</v>
      </c>
      <c r="M17" s="11" t="str">
        <f>IFERROR(__xludf.DUMMYFUNCTION("GOOGLETRANSLATE(G17,""ID"",""EN"")"),"Niterra will calculate the shopping voucher commission based on the program package &amp; policies.")</f>
        <v>Niterra will calculate the shopping voucher commission based on the program package &amp; policies.</v>
      </c>
      <c r="N17" s="62" t="s">
        <v>94</v>
      </c>
      <c r="O17" s="11"/>
      <c r="P17" s="11"/>
      <c r="Q17" s="11"/>
      <c r="R17" s="11"/>
      <c r="S17" s="11"/>
      <c r="T17" s="11"/>
      <c r="U17" s="11"/>
      <c r="V17" s="11"/>
      <c r="W17" s="11"/>
      <c r="X17" s="11"/>
      <c r="Y17" s="11"/>
      <c r="Z17" s="11"/>
      <c r="AA17" s="11"/>
    </row>
    <row r="18">
      <c r="A18" s="30"/>
      <c r="B18" s="31"/>
      <c r="C18" s="23">
        <v>2.0</v>
      </c>
      <c r="D18" s="24" t="s">
        <v>127</v>
      </c>
      <c r="E18" s="31"/>
      <c r="F18" s="52">
        <v>2.0</v>
      </c>
      <c r="G18" s="24" t="s">
        <v>121</v>
      </c>
      <c r="H18" s="31"/>
      <c r="I18" s="23">
        <v>2.0</v>
      </c>
      <c r="J18" s="11" t="str">
        <f>IFERROR(__xludf.DUMMYFUNCTION("GOOGLETRANSLATE(D18,""ID"",""EN"")"),"Distributors must open POs of at least 85% of the monthly target quantity to participate in this program.")</f>
        <v>Distributors must open POs of at least 85% of the monthly target quantity to participate in this program.</v>
      </c>
      <c r="K18" s="31"/>
      <c r="L18" s="52">
        <v>2.0</v>
      </c>
      <c r="M18" s="11" t="str">
        <f>IFERROR(__xludf.DUMMYFUNCTION("GOOGLETRANSLATE(G18,""ID"",""EN"")"),"Distributors submit sales reports on this program for each customer.")</f>
        <v>Distributors submit sales reports on this program for each customer.</v>
      </c>
      <c r="N18" s="31"/>
      <c r="O18" s="11"/>
      <c r="P18" s="11"/>
      <c r="Q18" s="11"/>
      <c r="R18" s="11"/>
      <c r="S18" s="11"/>
      <c r="T18" s="11"/>
      <c r="U18" s="11"/>
      <c r="V18" s="11"/>
      <c r="W18" s="11"/>
      <c r="X18" s="11"/>
      <c r="Y18" s="11"/>
      <c r="Z18" s="11"/>
      <c r="AA18" s="11"/>
    </row>
    <row r="19">
      <c r="A19" s="30"/>
      <c r="B19" s="31"/>
      <c r="C19" s="23">
        <v>3.0</v>
      </c>
      <c r="D19" s="24" t="s">
        <v>120</v>
      </c>
      <c r="E19" s="31"/>
      <c r="F19" s="13"/>
      <c r="G19" s="63"/>
      <c r="H19" s="31"/>
      <c r="I19" s="23">
        <v>3.0</v>
      </c>
      <c r="J19" s="11" t="str">
        <f>IFERROR(__xludf.DUMMYFUNCTION("GOOGLETRANSLATE(D19,""ID"",""EN"")"),"The program packages are as follows: (multiples apply)")</f>
        <v>The program packages are as follows: (multiples apply)</v>
      </c>
      <c r="K19" s="31"/>
      <c r="L19" s="13"/>
      <c r="M19" s="11"/>
      <c r="N19" s="31"/>
      <c r="O19" s="11"/>
      <c r="P19" s="11"/>
      <c r="Q19" s="11"/>
      <c r="R19" s="11"/>
      <c r="S19" s="11"/>
      <c r="T19" s="11"/>
      <c r="U19" s="11"/>
      <c r="V19" s="11"/>
      <c r="W19" s="11"/>
      <c r="X19" s="11"/>
      <c r="Y19" s="11"/>
      <c r="Z19" s="11"/>
      <c r="AA19" s="11"/>
    </row>
    <row r="20">
      <c r="A20" s="30"/>
      <c r="B20" s="31"/>
      <c r="C20" s="12"/>
      <c r="D20" s="34" t="s">
        <v>128</v>
      </c>
      <c r="E20" s="31"/>
      <c r="F20" s="13"/>
      <c r="G20" s="63"/>
      <c r="H20" s="31"/>
      <c r="I20" s="12"/>
      <c r="J20" s="11" t="str">
        <f>IFERROR(__xludf.DUMMYFUNCTION("GOOGLETRANSLATE(D20,""ID"",""EN"")"),"- 20 pcs DCPR7EA-9 YL / DCPR7EA-9 TY")</f>
        <v>- 20 pcs DCPR7EA-9 YL / DCPR7EA-9 TY</v>
      </c>
      <c r="K20" s="31"/>
      <c r="L20" s="13"/>
      <c r="M20" s="11"/>
      <c r="N20" s="31"/>
      <c r="O20" s="11"/>
      <c r="P20" s="11"/>
      <c r="Q20" s="11"/>
      <c r="R20" s="11"/>
      <c r="S20" s="11"/>
      <c r="T20" s="11"/>
      <c r="U20" s="11"/>
      <c r="V20" s="11"/>
      <c r="W20" s="11"/>
      <c r="X20" s="11"/>
      <c r="Y20" s="11"/>
      <c r="Z20" s="11"/>
      <c r="AA20" s="11"/>
    </row>
    <row r="21">
      <c r="A21" s="55"/>
      <c r="B21" s="39"/>
      <c r="C21" s="56"/>
      <c r="D21" s="57" t="s">
        <v>129</v>
      </c>
      <c r="E21" s="39"/>
      <c r="F21" s="58"/>
      <c r="G21" s="64"/>
      <c r="H21" s="39"/>
      <c r="I21" s="56"/>
      <c r="J21" s="38" t="str">
        <f>IFERROR(__xludf.DUMMYFUNCTION("GOOGLETRANSLATE(D21,""ID"",""EN"")"),"- 20 pcs LKAR6AGP")</f>
        <v>- 20 pcs LKAR6AGP</v>
      </c>
      <c r="K21" s="39"/>
      <c r="L21" s="58"/>
      <c r="M21" s="38"/>
      <c r="N21" s="39"/>
      <c r="O21" s="11"/>
      <c r="P21" s="11"/>
      <c r="Q21" s="11"/>
      <c r="R21" s="11"/>
      <c r="S21" s="11"/>
      <c r="T21" s="11"/>
      <c r="U21" s="11"/>
      <c r="V21" s="11"/>
      <c r="W21" s="11"/>
      <c r="X21" s="11"/>
      <c r="Y21" s="11"/>
      <c r="Z21" s="11"/>
      <c r="AA21" s="11"/>
    </row>
    <row r="22">
      <c r="A22" s="21" t="s">
        <v>130</v>
      </c>
      <c r="B22" s="22" t="s">
        <v>131</v>
      </c>
      <c r="C22" s="23">
        <v>1.0</v>
      </c>
      <c r="D22" s="24" t="s">
        <v>132</v>
      </c>
      <c r="E22" s="25" t="s">
        <v>133</v>
      </c>
      <c r="F22" s="26">
        <v>1.0</v>
      </c>
      <c r="G22" s="27" t="s">
        <v>134</v>
      </c>
      <c r="H22" s="22" t="s">
        <v>94</v>
      </c>
      <c r="I22" s="23">
        <v>1.0</v>
      </c>
      <c r="J22" s="11" t="str">
        <f>IFERROR(__xludf.DUMMYFUNCTION("GOOGLETRANSLATE(D22,""ID"",""EN"")"),"Niterra only provides this support program to select distributors and stores.")</f>
        <v>Niterra only provides this support program to select distributors and stores.</v>
      </c>
      <c r="K22" s="28" t="str">
        <f>IFERROR(__xludf.DUMMYFUNCTION("GOOGLETRANSLATE(E22,""ID"",""EN"")"),"Distributors and Customers are free to determine commissions.")</f>
        <v>Distributors and Customers are free to determine commissions.</v>
      </c>
      <c r="L22" s="26">
        <v>1.0</v>
      </c>
      <c r="M22" s="11" t="str">
        <f>IFERROR(__xludf.DUMMYFUNCTION("GOOGLETRANSLATE(G22,""ID"",""EN"")"),"Customers fill out and sign (with the store stamp) the program participation form and are free to determine the commission,")</f>
        <v>Customers fill out and sign (with the store stamp) the program participation form and are free to determine the commission,</v>
      </c>
      <c r="N22" s="22" t="s">
        <v>94</v>
      </c>
      <c r="O22" s="11"/>
      <c r="P22" s="11"/>
      <c r="Q22" s="11"/>
      <c r="R22" s="11"/>
      <c r="S22" s="11"/>
      <c r="T22" s="11"/>
      <c r="U22" s="11"/>
      <c r="V22" s="11"/>
      <c r="W22" s="11"/>
      <c r="X22" s="11"/>
      <c r="Y22" s="11"/>
      <c r="Z22" s="11"/>
      <c r="AA22" s="11"/>
    </row>
    <row r="23">
      <c r="A23" s="30"/>
      <c r="B23" s="31"/>
      <c r="C23" s="23">
        <v>2.0</v>
      </c>
      <c r="D23" s="24" t="s">
        <v>135</v>
      </c>
      <c r="E23" s="31"/>
      <c r="F23" s="26">
        <v>2.0</v>
      </c>
      <c r="G23" s="27" t="s">
        <v>98</v>
      </c>
      <c r="H23" s="31"/>
      <c r="I23" s="23">
        <v>2.0</v>
      </c>
      <c r="J23" s="11" t="str">
        <f>IFERROR(__xludf.DUMMYFUNCTION("GOOGLETRANSLATE(D23,""ID"",""EN"")"),"Niterra and its Distributors have the right to determine which stores are selected to participate in this program.")</f>
        <v>Niterra and its Distributors have the right to determine which stores are selected to participate in this program.</v>
      </c>
      <c r="K23" s="31"/>
      <c r="L23" s="26">
        <v>2.0</v>
      </c>
      <c r="M23" s="11" t="str">
        <f>IFERROR(__xludf.DUMMYFUNCTION("GOOGLETRANSLATE(G23,""ID"",""EN"")"),"Commission purchase methods:
- Distributors purchase commissions themselves
- Distributors purchase through Niterra")</f>
        <v>Commission purchase methods:
- Distributors purchase commissions themselves
- Distributors purchase through Niterra</v>
      </c>
      <c r="N23" s="31"/>
      <c r="O23" s="11"/>
      <c r="P23" s="11"/>
      <c r="Q23" s="11"/>
      <c r="R23" s="11"/>
      <c r="S23" s="11"/>
      <c r="T23" s="11"/>
      <c r="U23" s="11"/>
      <c r="V23" s="11"/>
      <c r="W23" s="11"/>
      <c r="X23" s="11"/>
      <c r="Y23" s="11"/>
      <c r="Z23" s="11"/>
      <c r="AA23" s="11"/>
    </row>
    <row r="24">
      <c r="A24" s="30"/>
      <c r="B24" s="31"/>
      <c r="C24" s="23">
        <v>3.0</v>
      </c>
      <c r="D24" s="24" t="s">
        <v>136</v>
      </c>
      <c r="E24" s="31"/>
      <c r="F24" s="26">
        <v>3.0</v>
      </c>
      <c r="G24" s="27" t="s">
        <v>103</v>
      </c>
      <c r="H24" s="31"/>
      <c r="I24" s="23">
        <v>3.0</v>
      </c>
      <c r="J24" s="11" t="str">
        <f>IFERROR(__xludf.DUMMYFUNCTION("GOOGLETRANSLATE(D24,""ID"",""EN"")"),"Distributors are required to sign a store contract for three months by completing the program contract form (Attachment I – attached). This must be returned to Niterra no later than January 10, 2025.")</f>
        <v>Distributors are required to sign a store contract for three months by completing the program contract form (Attachment I – attached). This must be returned to Niterra no later than January 10, 2025.</v>
      </c>
      <c r="K24" s="31"/>
      <c r="L24" s="26">
        <v>3.0</v>
      </c>
      <c r="M24" s="11" t="str">
        <f>IFERROR(__xludf.DUMMYFUNCTION("GOOGLETRANSLATE(G24,""ID"",""EN"")"),"Niterra will process payments and purchases if all documents are complete,")</f>
        <v>Niterra will process payments and purchases if all documents are complete,</v>
      </c>
      <c r="N24" s="31"/>
      <c r="O24" s="11"/>
      <c r="P24" s="11"/>
      <c r="Q24" s="11"/>
      <c r="R24" s="11"/>
      <c r="S24" s="11"/>
      <c r="T24" s="11"/>
      <c r="U24" s="11"/>
      <c r="V24" s="11"/>
      <c r="W24" s="11"/>
      <c r="X24" s="11"/>
      <c r="Y24" s="11"/>
      <c r="Z24" s="11"/>
      <c r="AA24" s="11"/>
    </row>
    <row r="25">
      <c r="A25" s="30"/>
      <c r="B25" s="31"/>
      <c r="C25" s="23">
        <v>4.0</v>
      </c>
      <c r="D25" s="24" t="s">
        <v>137</v>
      </c>
      <c r="E25" s="31"/>
      <c r="F25" s="26">
        <v>4.0</v>
      </c>
      <c r="G25" s="27" t="s">
        <v>138</v>
      </c>
      <c r="H25" s="31"/>
      <c r="I25" s="23">
        <v>4.0</v>
      </c>
      <c r="J25" s="11" t="str">
        <f>IFERROR(__xludf.DUMMYFUNCTION("GOOGLETRANSLATE(D25,""ID"",""EN"")"),"Commission support per unit is based on store purchases from distributors against the store's monthly target, with the following criteria:
100%: Rp 400 / unit
85% - 99%: Rp 300 / unit
70% - 84%: Rp 150 / unit
The store target is the Spark-tacular Program"&amp;" target for January - March 2025, as agreed upon by Niterra and the distributor (Attachment I – attached).")</f>
        <v>Commission support per unit is based on store purchases from distributors against the store's monthly target, with the following criteria:
100%: Rp 400 / unit
85% - 99%: Rp 300 / unit
70% - 84%: Rp 150 / unit
The store target is the Spark-tacular Program target for January - March 2025, as agreed upon by Niterra and the distributor (Attachment I – attached).</v>
      </c>
      <c r="K25" s="31"/>
      <c r="L25" s="26">
        <v>4.0</v>
      </c>
      <c r="M25" s="11" t="str">
        <f>IFERROR(__xludf.DUMMYFUNCTION("GOOGLETRANSLATE(G25,""ID"",""EN"")"),"Distributors are required to submit commission calculations and claim the program within a maximum of three months after the program ends. If the deadline is exceeded, the distributor will not be entitled to claim the commission.")</f>
        <v>Distributors are required to submit commission calculations and claim the program within a maximum of three months after the program ends. If the deadline is exceeded, the distributor will not be entitled to claim the commission.</v>
      </c>
      <c r="N25" s="31"/>
      <c r="O25" s="11"/>
      <c r="P25" s="11"/>
      <c r="Q25" s="11"/>
      <c r="R25" s="11"/>
      <c r="S25" s="11"/>
      <c r="T25" s="11"/>
      <c r="U25" s="11"/>
      <c r="V25" s="11"/>
      <c r="W25" s="11"/>
      <c r="X25" s="11"/>
      <c r="Y25" s="11"/>
      <c r="Z25" s="11"/>
      <c r="AA25" s="11"/>
    </row>
    <row r="26">
      <c r="A26" s="30"/>
      <c r="B26" s="31"/>
      <c r="C26" s="23">
        <v>5.0</v>
      </c>
      <c r="D26" s="24" t="s">
        <v>139</v>
      </c>
      <c r="E26" s="31"/>
      <c r="F26" s="36"/>
      <c r="G26" s="65"/>
      <c r="H26" s="31"/>
      <c r="I26" s="23">
        <v>5.0</v>
      </c>
      <c r="J26" s="11" t="str">
        <f>IFERROR(__xludf.DUMMYFUNCTION("GOOGLETRANSLATE(D26,""ID"",""EN"")"),"Distributors are required to notify Niterra by completing and submitting the Program Proposal form (Attachment II – attached). This must be returned to Niterra no later than January 10, 2025.")</f>
        <v>Distributors are required to notify Niterra by completing and submitting the Program Proposal form (Attachment II – attached). This must be returned to Niterra no later than January 10, 2025.</v>
      </c>
      <c r="K26" s="31"/>
      <c r="L26" s="36"/>
      <c r="M26" s="11"/>
      <c r="N26" s="31"/>
      <c r="O26" s="11"/>
      <c r="P26" s="11"/>
      <c r="Q26" s="11"/>
      <c r="R26" s="11"/>
      <c r="S26" s="11"/>
      <c r="T26" s="11"/>
      <c r="U26" s="11"/>
      <c r="V26" s="11"/>
      <c r="W26" s="11"/>
      <c r="X26" s="11"/>
      <c r="Y26" s="11"/>
      <c r="Z26" s="11"/>
      <c r="AA26" s="11"/>
    </row>
    <row r="27">
      <c r="A27" s="55"/>
      <c r="B27" s="39"/>
      <c r="C27" s="37">
        <v>6.0</v>
      </c>
      <c r="D27" s="66" t="s">
        <v>140</v>
      </c>
      <c r="E27" s="39"/>
      <c r="F27" s="67"/>
      <c r="G27" s="68"/>
      <c r="H27" s="39"/>
      <c r="I27" s="37">
        <v>6.0</v>
      </c>
      <c r="J27" s="38" t="str">
        <f>IFERROR(__xludf.DUMMYFUNCTION("GOOGLETRANSLATE(D27,""ID"",""EN"")"),"If a participating store does not make any purchases in a given month, it does not receive any commission from this support program for that month.")</f>
        <v>If a participating store does not make any purchases in a given month, it does not receive any commission from this support program for that month.</v>
      </c>
      <c r="K27" s="39"/>
      <c r="L27" s="67"/>
      <c r="M27" s="38"/>
      <c r="N27" s="39"/>
      <c r="O27" s="11"/>
      <c r="P27" s="11"/>
      <c r="Q27" s="11"/>
      <c r="R27" s="11"/>
      <c r="S27" s="11"/>
      <c r="T27" s="11"/>
      <c r="U27" s="11"/>
      <c r="V27" s="11"/>
      <c r="W27" s="11"/>
      <c r="X27" s="11"/>
      <c r="Y27" s="11"/>
      <c r="Z27" s="11"/>
      <c r="AA27" s="11"/>
    </row>
    <row r="28">
      <c r="A28" s="22" t="s">
        <v>141</v>
      </c>
      <c r="B28" s="22" t="s">
        <v>142</v>
      </c>
      <c r="C28" s="23">
        <v>1.0</v>
      </c>
      <c r="D28" s="24" t="s">
        <v>143</v>
      </c>
      <c r="E28" s="25" t="s">
        <v>118</v>
      </c>
      <c r="F28" s="26">
        <v>1.0</v>
      </c>
      <c r="G28" s="24" t="s">
        <v>119</v>
      </c>
      <c r="H28" s="22" t="s">
        <v>144</v>
      </c>
      <c r="I28" s="23">
        <v>1.0</v>
      </c>
      <c r="J28" s="11" t="str">
        <f>IFERROR(__xludf.DUMMYFUNCTION("GOOGLETRANSLATE(D28,""ID"",""EN"")"),"The program is given to Distributors who open PO DID for Silent Chain products.")</f>
        <v>The program is given to Distributors who open PO DID for Silent Chain products.</v>
      </c>
      <c r="K28" s="28" t="str">
        <f>IFERROR(__xludf.DUMMYFUNCTION("GOOGLETRANSLATE(E28,""ID"",""EN"")"),"Shopping Voucher @ Rp. 25,000 per 1 package.")</f>
        <v>Shopping Voucher @ Rp. 25,000 per 1 package.</v>
      </c>
      <c r="L28" s="26">
        <v>1.0</v>
      </c>
      <c r="M28" s="11" t="str">
        <f>IFERROR(__xludf.DUMMYFUNCTION("GOOGLETRANSLATE(G28,""ID"",""EN"")"),"Niterra will calculate the shopping voucher commission based on the program package &amp; policies.")</f>
        <v>Niterra will calculate the shopping voucher commission based on the program package &amp; policies.</v>
      </c>
      <c r="N28" s="22" t="s">
        <v>144</v>
      </c>
      <c r="O28" s="11"/>
      <c r="P28" s="11"/>
      <c r="Q28" s="11"/>
      <c r="R28" s="11"/>
      <c r="S28" s="11"/>
      <c r="T28" s="11"/>
      <c r="U28" s="11"/>
      <c r="V28" s="11"/>
      <c r="W28" s="11"/>
      <c r="X28" s="11"/>
      <c r="Y28" s="11"/>
      <c r="Z28" s="11"/>
      <c r="AA28" s="11"/>
    </row>
    <row r="29">
      <c r="A29" s="31"/>
      <c r="B29" s="31"/>
      <c r="C29" s="23">
        <v>2.0</v>
      </c>
      <c r="D29" s="24" t="s">
        <v>145</v>
      </c>
      <c r="E29" s="31"/>
      <c r="F29" s="26">
        <v>2.0</v>
      </c>
      <c r="G29" s="24" t="s">
        <v>146</v>
      </c>
      <c r="H29" s="31"/>
      <c r="I29" s="37">
        <v>2.0</v>
      </c>
      <c r="J29" s="38" t="str">
        <f>IFERROR(__xludf.DUMMYFUNCTION("GOOGLETRANSLATE(D29,""ID"",""EN"")"),"The program package is valid for every purchase of 10 pcs DID Silent Chain (multiples apply)")</f>
        <v>The program package is valid for every purchase of 10 pcs DID Silent Chain (multiples apply)</v>
      </c>
      <c r="K29" s="39"/>
      <c r="L29" s="40">
        <v>2.0</v>
      </c>
      <c r="M29" s="38" t="str">
        <f>IFERROR(__xludf.DUMMYFUNCTION("GOOGLETRANSLATE(G29,""ID"",""EN"")"),"Distributors submit DID sales reports for this program for each customer.")</f>
        <v>Distributors submit DID sales reports for this program for each customer.</v>
      </c>
      <c r="N29" s="39"/>
      <c r="O29" s="11"/>
      <c r="P29" s="11"/>
      <c r="Q29" s="11"/>
      <c r="R29" s="11"/>
      <c r="S29" s="11"/>
      <c r="T29" s="11"/>
      <c r="U29" s="11"/>
      <c r="V29" s="11"/>
      <c r="W29" s="11"/>
      <c r="X29" s="11"/>
      <c r="Y29" s="11"/>
      <c r="Z29" s="11"/>
      <c r="AA29" s="11"/>
    </row>
    <row r="30">
      <c r="A30" s="69" t="s">
        <v>141</v>
      </c>
      <c r="B30" s="69" t="s">
        <v>147</v>
      </c>
      <c r="C30" s="45">
        <v>1.0</v>
      </c>
      <c r="D30" s="70" t="s">
        <v>148</v>
      </c>
      <c r="E30" s="47" t="s">
        <v>149</v>
      </c>
      <c r="F30" s="71">
        <v>1.0</v>
      </c>
      <c r="G30" s="46" t="s">
        <v>150</v>
      </c>
      <c r="H30" s="69" t="s">
        <v>144</v>
      </c>
      <c r="I30" s="45">
        <v>1.0</v>
      </c>
      <c r="J30" s="11" t="str">
        <f>IFERROR(__xludf.DUMMYFUNCTION("GOOGLETRANSLATE(D30,""ID"",""EN"")"),"This program is intended for all Distributor customers except customers who participate in the contract program from the Customer Gathering / Technical Workshop event.")</f>
        <v>This program is intended for all Distributor customers except customers who participate in the contract program from the Customer Gathering / Technical Workshop event.</v>
      </c>
      <c r="K30" s="28" t="str">
        <f>IFERROR(__xludf.DUMMYFUNCTION("GOOGLETRANSLATE(E30,""ID"",""EN"")"),"Shopping Voucher
@ Rp. 25,000")</f>
        <v>Shopping Voucher
@ Rp. 25,000</v>
      </c>
      <c r="L30" s="71">
        <v>1.0</v>
      </c>
      <c r="M30" s="11" t="str">
        <f>IFERROR(__xludf.DUMMYFUNCTION("GOOGLETRANSLATE(G30,""ID"",""EN"")"),"Distributors must submit sales program reports from each store during the current program period every month.")</f>
        <v>Distributors must submit sales program reports from each store during the current program period every month.</v>
      </c>
      <c r="N30" s="69" t="s">
        <v>144</v>
      </c>
      <c r="O30" s="11"/>
      <c r="P30" s="11"/>
      <c r="Q30" s="11"/>
      <c r="R30" s="11"/>
      <c r="S30" s="11"/>
      <c r="T30" s="11"/>
      <c r="U30" s="11"/>
      <c r="V30" s="11"/>
      <c r="W30" s="11"/>
      <c r="X30" s="11"/>
      <c r="Y30" s="11"/>
      <c r="Z30" s="11"/>
      <c r="AA30" s="11"/>
    </row>
    <row r="31">
      <c r="A31" s="31"/>
      <c r="B31" s="31"/>
      <c r="C31" s="23">
        <v>2.0</v>
      </c>
      <c r="D31" s="53" t="s">
        <v>151</v>
      </c>
      <c r="E31" s="31"/>
      <c r="F31" s="36"/>
      <c r="G31" s="63"/>
      <c r="H31" s="31"/>
      <c r="I31" s="23">
        <v>2.0</v>
      </c>
      <c r="J31" s="11" t="str">
        <f>IFERROR(__xludf.DUMMYFUNCTION("GOOGLETRANSLATE(D31,""ID"",""EN"")"),"The program is calculated based on the number of store pickups to the Distributor, with no minimum pickup.")</f>
        <v>The program is calculated based on the number of store pickups to the Distributor, with no minimum pickup.</v>
      </c>
      <c r="K31" s="31"/>
      <c r="L31" s="36"/>
      <c r="M31" s="11"/>
      <c r="N31" s="31"/>
      <c r="O31" s="11"/>
      <c r="P31" s="11"/>
      <c r="Q31" s="11"/>
      <c r="R31" s="11"/>
      <c r="S31" s="11"/>
      <c r="T31" s="11"/>
      <c r="U31" s="11"/>
      <c r="V31" s="11"/>
      <c r="W31" s="11"/>
      <c r="X31" s="11"/>
      <c r="Y31" s="11"/>
      <c r="Z31" s="11"/>
      <c r="AA31" s="11"/>
    </row>
    <row r="32">
      <c r="A32" s="31"/>
      <c r="B32" s="31"/>
      <c r="C32" s="23">
        <v>3.0</v>
      </c>
      <c r="D32" s="53" t="s">
        <v>152</v>
      </c>
      <c r="E32" s="31"/>
      <c r="F32" s="36"/>
      <c r="G32" s="54"/>
      <c r="H32" s="31"/>
      <c r="I32" s="23">
        <v>3.0</v>
      </c>
      <c r="J32" s="11" t="str">
        <f>IFERROR(__xludf.DUMMYFUNCTION("GOOGLETRANSLATE(D32,""ID"",""EN"")"),"commissions are awarded based on the following achievements:")</f>
        <v>commissions are awarded based on the following achievements:</v>
      </c>
      <c r="K32" s="31"/>
      <c r="L32" s="36"/>
      <c r="M32" s="11"/>
      <c r="N32" s="31"/>
      <c r="O32" s="11"/>
      <c r="P32" s="11"/>
      <c r="Q32" s="11"/>
      <c r="R32" s="11"/>
      <c r="S32" s="11"/>
      <c r="T32" s="11"/>
      <c r="U32" s="11"/>
      <c r="V32" s="11"/>
      <c r="W32" s="11"/>
      <c r="X32" s="11"/>
      <c r="Y32" s="11"/>
      <c r="Z32" s="11"/>
      <c r="AA32" s="11"/>
    </row>
    <row r="33">
      <c r="A33" s="31"/>
      <c r="B33" s="31"/>
      <c r="C33" s="33"/>
      <c r="D33" s="72" t="s">
        <v>153</v>
      </c>
      <c r="E33" s="31"/>
      <c r="F33" s="36"/>
      <c r="G33" s="54"/>
      <c r="H33" s="31"/>
      <c r="I33" s="33"/>
      <c r="J33" s="11" t="str">
        <f>IFERROR(__xludf.DUMMYFUNCTION("GOOGLETRANSLATE(D33,""ID"",""EN"")"),"25 pcs Chain Kit, or")</f>
        <v>25 pcs Chain Kit, or</v>
      </c>
      <c r="K33" s="31"/>
      <c r="L33" s="36"/>
      <c r="M33" s="11"/>
      <c r="N33" s="31"/>
      <c r="O33" s="11"/>
      <c r="P33" s="11"/>
      <c r="Q33" s="11"/>
      <c r="R33" s="11"/>
      <c r="S33" s="11"/>
      <c r="T33" s="11"/>
      <c r="U33" s="11"/>
      <c r="V33" s="11"/>
      <c r="W33" s="11"/>
      <c r="X33" s="11"/>
      <c r="Y33" s="11"/>
      <c r="Z33" s="11"/>
      <c r="AA33" s="11"/>
    </row>
    <row r="34">
      <c r="A34" s="31"/>
      <c r="B34" s="31"/>
      <c r="C34" s="33"/>
      <c r="D34" s="72" t="s">
        <v>154</v>
      </c>
      <c r="E34" s="31"/>
      <c r="F34" s="36"/>
      <c r="G34" s="54"/>
      <c r="H34" s="31"/>
      <c r="I34" s="33"/>
      <c r="J34" s="11" t="str">
        <f>IFERROR(__xludf.DUMMYFUNCTION("GOOGLETRANSLATE(D34,""ID"",""EN"")"),"25 pcs Single Drive Chain Standard, or")</f>
        <v>25 pcs Single Drive Chain Standard, or</v>
      </c>
      <c r="K34" s="31"/>
      <c r="L34" s="36"/>
      <c r="M34" s="11"/>
      <c r="N34" s="31"/>
      <c r="O34" s="11"/>
      <c r="P34" s="11"/>
      <c r="Q34" s="11"/>
      <c r="R34" s="11"/>
      <c r="S34" s="11"/>
      <c r="T34" s="11"/>
      <c r="U34" s="11"/>
      <c r="V34" s="11"/>
      <c r="W34" s="11"/>
      <c r="X34" s="11"/>
      <c r="Y34" s="11"/>
      <c r="Z34" s="11"/>
      <c r="AA34" s="11"/>
    </row>
    <row r="35">
      <c r="A35" s="31"/>
      <c r="B35" s="31"/>
      <c r="C35" s="33"/>
      <c r="D35" s="72" t="s">
        <v>155</v>
      </c>
      <c r="E35" s="31"/>
      <c r="F35" s="36"/>
      <c r="G35" s="54"/>
      <c r="H35" s="31"/>
      <c r="I35" s="33"/>
      <c r="J35" s="11" t="str">
        <f>IFERROR(__xludf.DUMMYFUNCTION("GOOGLETRANSLATE(D35,""ID"",""EN"")"),"50 pcs Silent Chain, or")</f>
        <v>50 pcs Silent Chain, or</v>
      </c>
      <c r="K35" s="31"/>
      <c r="L35" s="36"/>
      <c r="M35" s="11"/>
      <c r="N35" s="31"/>
      <c r="O35" s="11"/>
      <c r="P35" s="11"/>
      <c r="Q35" s="11"/>
      <c r="R35" s="11"/>
      <c r="S35" s="11"/>
      <c r="T35" s="11"/>
      <c r="U35" s="11"/>
      <c r="V35" s="11"/>
      <c r="W35" s="11"/>
      <c r="X35" s="11"/>
      <c r="Y35" s="11"/>
      <c r="Z35" s="11"/>
      <c r="AA35" s="11"/>
    </row>
    <row r="36">
      <c r="A36" s="39"/>
      <c r="B36" s="39"/>
      <c r="C36" s="37">
        <v>4.0</v>
      </c>
      <c r="D36" s="73" t="s">
        <v>156</v>
      </c>
      <c r="E36" s="39"/>
      <c r="F36" s="67"/>
      <c r="G36" s="59"/>
      <c r="H36" s="39"/>
      <c r="I36" s="37">
        <v>4.0</v>
      </c>
      <c r="J36" s="38" t="str">
        <f>IFERROR(__xludf.DUMMYFUNCTION("GOOGLETRANSLATE(D36,""ID"",""EN"")"),"Commissions in the form of shopping vouchers will be given every 3 months.")</f>
        <v>Commissions in the form of shopping vouchers will be given every 3 months.</v>
      </c>
      <c r="K36" s="39"/>
      <c r="L36" s="67"/>
      <c r="M36" s="38"/>
      <c r="N36" s="39"/>
      <c r="O36" s="11"/>
      <c r="P36" s="11"/>
      <c r="Q36" s="11"/>
      <c r="R36" s="11"/>
      <c r="S36" s="11"/>
      <c r="T36" s="11"/>
      <c r="U36" s="11"/>
      <c r="V36" s="11"/>
      <c r="W36" s="11"/>
      <c r="X36" s="11"/>
      <c r="Y36" s="11"/>
      <c r="Z36" s="11"/>
      <c r="AA36" s="11"/>
    </row>
    <row r="37">
      <c r="A37" s="21" t="s">
        <v>89</v>
      </c>
      <c r="B37" s="22" t="s">
        <v>157</v>
      </c>
      <c r="C37" s="74">
        <v>1.0</v>
      </c>
      <c r="D37" s="32" t="s">
        <v>158</v>
      </c>
      <c r="E37" s="25" t="s">
        <v>159</v>
      </c>
      <c r="F37" s="26">
        <v>1.0</v>
      </c>
      <c r="G37" s="27" t="s">
        <v>160</v>
      </c>
      <c r="H37" s="22" t="s">
        <v>96</v>
      </c>
      <c r="I37" s="74">
        <v>1.0</v>
      </c>
      <c r="J37" s="11" t="str">
        <f>IFERROR(__xludf.DUMMYFUNCTION("GOOGLETRANSLATE(D37,""ID"",""EN"")"),"Program support is only provided to distributors who are committed to achieving a minimum PO target of 95% in terms of Quantity or Nominal in Jan - Mar 2025 according to the achievement criteria.")</f>
        <v>Program support is only provided to distributors who are committed to achieving a minimum PO target of 95% in terms of Quantity or Nominal in Jan - Mar 2025 according to the achievement criteria.</v>
      </c>
      <c r="K37" s="28" t="str">
        <f>IFERROR(__xludf.DUMMYFUNCTION("GOOGLETRANSLATE(E37,""ID"",""EN"")"),"Distributors can choose any type of commission that meets customer needs.")</f>
        <v>Distributors can choose any type of commission that meets customer needs.</v>
      </c>
      <c r="L37" s="26">
        <v>1.0</v>
      </c>
      <c r="M37" s="11" t="str">
        <f>IFERROR(__xludf.DUMMYFUNCTION("GOOGLETRANSLATE(G37,""ID"",""EN"")"),"Distributors can determine the program period (3 months, 6 months, and 9 months) and must make a claim a maximum of 3 months after the selected program period ends.")</f>
        <v>Distributors can determine the program period (3 months, 6 months, and 9 months) and must make a claim a maximum of 3 months after the selected program period ends.</v>
      </c>
      <c r="N37" s="22" t="s">
        <v>96</v>
      </c>
      <c r="O37" s="11"/>
      <c r="P37" s="11"/>
      <c r="Q37" s="11"/>
      <c r="R37" s="11"/>
      <c r="S37" s="11"/>
      <c r="T37" s="11"/>
      <c r="U37" s="11"/>
      <c r="V37" s="11"/>
      <c r="W37" s="11"/>
      <c r="X37" s="11"/>
      <c r="Y37" s="11"/>
      <c r="Z37" s="11"/>
      <c r="AA37" s="11"/>
    </row>
    <row r="38">
      <c r="A38" s="30"/>
      <c r="B38" s="31"/>
      <c r="C38" s="74">
        <v>2.0</v>
      </c>
      <c r="D38" s="32" t="s">
        <v>161</v>
      </c>
      <c r="E38" s="31"/>
      <c r="F38" s="26">
        <v>2.0</v>
      </c>
      <c r="G38" s="27" t="s">
        <v>98</v>
      </c>
      <c r="H38" s="31"/>
      <c r="I38" s="74">
        <v>2.0</v>
      </c>
      <c r="J38" s="11" t="str">
        <f>IFERROR(__xludf.DUMMYFUNCTION("GOOGLETRANSLATE(D38,""ID"",""EN"")"),"The commission limit for this program is 105% of the target quantity or nominal amount.
Niterra will provide commissions for total orders from Jan - Mar 2025 (IDR/piece).")</f>
        <v>The commission limit for this program is 105% of the target quantity or nominal amount.
Niterra will provide commissions for total orders from Jan - Mar 2025 (IDR/piece).</v>
      </c>
      <c r="K38" s="31"/>
      <c r="L38" s="26">
        <v>2.0</v>
      </c>
      <c r="M38" s="11" t="str">
        <f>IFERROR(__xludf.DUMMYFUNCTION("GOOGLETRANSLATE(G38,""ID"",""EN"")"),"Commission purchase methods:
- Distributors purchase commissions themselves
- Distributors purchase through Niterra")</f>
        <v>Commission purchase methods:
- Distributors purchase commissions themselves
- Distributors purchase through Niterra</v>
      </c>
      <c r="N38" s="31"/>
      <c r="O38" s="11"/>
      <c r="P38" s="11"/>
      <c r="Q38" s="11"/>
      <c r="R38" s="11"/>
      <c r="S38" s="11"/>
      <c r="T38" s="11"/>
      <c r="U38" s="11"/>
      <c r="V38" s="11"/>
      <c r="W38" s="11"/>
      <c r="X38" s="11"/>
      <c r="Y38" s="11"/>
      <c r="Z38" s="11"/>
      <c r="AA38" s="11"/>
    </row>
    <row r="39">
      <c r="A39" s="30"/>
      <c r="B39" s="31"/>
      <c r="C39" s="75"/>
      <c r="D39" s="35" t="s">
        <v>162</v>
      </c>
      <c r="E39" s="31"/>
      <c r="F39" s="26">
        <v>3.0</v>
      </c>
      <c r="G39" s="52" t="s">
        <v>101</v>
      </c>
      <c r="H39" s="31"/>
      <c r="I39" s="75"/>
      <c r="J39" s="11" t="str">
        <f>IFERROR(__xludf.DUMMYFUNCTION("GOOGLETRANSLATE(D39,""ID"",""EN"")"),"2W Ni: IDR 900
 4W Ni: IDR 1,200")</f>
        <v>2W Ni: IDR 900
 4W Ni: IDR 1,200</v>
      </c>
      <c r="K39" s="31"/>
      <c r="L39" s="26">
        <v>3.0</v>
      </c>
      <c r="M39" s="11" t="str">
        <f>IFERROR(__xludf.DUMMYFUNCTION("GOOGLETRANSLATE(G39,""ID"",""EN"")"),"Distributors are required to understand the Report and Evaluation policy in the Official Letter,")</f>
        <v>Distributors are required to understand the Report and Evaluation policy in the Official Letter,</v>
      </c>
      <c r="N39" s="31"/>
      <c r="O39" s="11"/>
      <c r="P39" s="11"/>
      <c r="Q39" s="11"/>
      <c r="R39" s="11"/>
      <c r="S39" s="11"/>
      <c r="T39" s="11"/>
      <c r="U39" s="11"/>
      <c r="V39" s="11"/>
      <c r="W39" s="11"/>
      <c r="X39" s="11"/>
      <c r="Y39" s="11"/>
      <c r="Z39" s="11"/>
      <c r="AA39" s="11"/>
    </row>
    <row r="40">
      <c r="A40" s="30"/>
      <c r="B40" s="31"/>
      <c r="C40" s="74">
        <v>3.0</v>
      </c>
      <c r="D40" s="32" t="s">
        <v>163</v>
      </c>
      <c r="E40" s="31"/>
      <c r="F40" s="26">
        <v>4.0</v>
      </c>
      <c r="G40" s="27" t="s">
        <v>164</v>
      </c>
      <c r="H40" s="31"/>
      <c r="I40" s="74">
        <v>3.0</v>
      </c>
      <c r="J40" s="11" t="str">
        <f>IFERROR(__xludf.DUMMYFUNCTION("GOOGLETRANSLATE(D40,""ID"",""EN"")"),"Distributors must achieve a minimum PO target of 85% for Q2, Q3, and Q4 2025 with an accumulated achievement of 280% of the quantity or nominal target for the 3 quarters.")</f>
        <v>Distributors must achieve a minimum PO target of 85% for Q2, Q3, and Q4 2025 with an accumulated achievement of 280% of the quantity or nominal target for the 3 quarters.</v>
      </c>
      <c r="K40" s="31"/>
      <c r="L40" s="26">
        <v>4.0</v>
      </c>
      <c r="M40" s="11" t="str">
        <f>IFERROR(__xludf.DUMMYFUNCTION("GOOGLETRANSLATE(G40,""ID"",""EN"")"),"If the claim period exceeds the specified time limit, the distributor cannot make a claim.")</f>
        <v>If the claim period exceeds the specified time limit, the distributor cannot make a claim.</v>
      </c>
      <c r="N40" s="31"/>
      <c r="O40" s="11"/>
      <c r="P40" s="11"/>
      <c r="Q40" s="11"/>
      <c r="R40" s="11"/>
      <c r="S40" s="11"/>
      <c r="T40" s="11"/>
      <c r="U40" s="11"/>
      <c r="V40" s="11"/>
      <c r="W40" s="11"/>
      <c r="X40" s="11"/>
      <c r="Y40" s="11"/>
      <c r="Z40" s="11"/>
      <c r="AA40" s="11"/>
    </row>
    <row r="41">
      <c r="A41" s="30"/>
      <c r="B41" s="31"/>
      <c r="C41" s="74">
        <v>4.0</v>
      </c>
      <c r="D41" s="32" t="s">
        <v>165</v>
      </c>
      <c r="E41" s="31"/>
      <c r="F41" s="26">
        <v>5.0</v>
      </c>
      <c r="G41" s="27" t="s">
        <v>166</v>
      </c>
      <c r="H41" s="31"/>
      <c r="I41" s="74">
        <v>4.0</v>
      </c>
      <c r="J41" s="11" t="str">
        <f>IFERROR(__xludf.DUMMYFUNCTION("GOOGLETRANSLATE(D41,""ID"",""EN"")"),"If the accumulated Q2, Q3, and Q4 results do not meet the above criteria, the distributor is not entitled to a commission for the current quarter (the quarter that was not achieved). However, commission will still be earned for the achieved quarter.")</f>
        <v>If the accumulated Q2, Q3, and Q4 results do not meet the above criteria, the distributor is not entitled to a commission for the current quarter (the quarter that was not achieved). However, commission will still be earned for the achieved quarter.</v>
      </c>
      <c r="K41" s="31"/>
      <c r="L41" s="26">
        <v>5.0</v>
      </c>
      <c r="M41" s="11" t="str">
        <f>IFERROR(__xludf.DUMMYFUNCTION("GOOGLETRANSLATE(G41,""ID"",""EN"")"),"Distributors are required to select suppliers registered with VAT and able to attach tax invoices.
The purchasing mechanism and required documents are attached to the Official Letter.")</f>
        <v>Distributors are required to select suppliers registered with VAT and able to attach tax invoices.
The purchasing mechanism and required documents are attached to the Official Letter.</v>
      </c>
      <c r="N41" s="31"/>
      <c r="O41" s="11"/>
      <c r="P41" s="11"/>
      <c r="Q41" s="11"/>
      <c r="R41" s="11"/>
      <c r="S41" s="11"/>
      <c r="T41" s="11"/>
      <c r="U41" s="11"/>
      <c r="V41" s="11"/>
      <c r="W41" s="11"/>
      <c r="X41" s="11"/>
      <c r="Y41" s="11"/>
      <c r="Z41" s="11"/>
      <c r="AA41" s="11"/>
    </row>
    <row r="42">
      <c r="A42" s="30"/>
      <c r="B42" s="31"/>
      <c r="C42" s="75"/>
      <c r="D42" s="32" t="s">
        <v>167</v>
      </c>
      <c r="E42" s="31"/>
      <c r="F42" s="36"/>
      <c r="G42" s="65"/>
      <c r="H42" s="31"/>
      <c r="I42" s="75"/>
      <c r="J42" s="11" t="str">
        <f>IFERROR(__xludf.DUMMYFUNCTION("GOOGLETRANSLATE(D42,""ID"",""EN"")"),"The commissions to be paid by Niterra for the period April - December 2025 are as follows: (IDR/piece)
*Based on PO achievements for January - March 2025*")</f>
        <v>The commissions to be paid by Niterra for the period April - December 2025 are as follows: (IDR/piece)
*Based on PO achievements for January - March 2025*</v>
      </c>
      <c r="K42" s="31"/>
      <c r="L42" s="11"/>
      <c r="M42" s="11"/>
      <c r="N42" s="31"/>
      <c r="O42" s="11"/>
      <c r="P42" s="11"/>
      <c r="Q42" s="11"/>
      <c r="R42" s="11"/>
      <c r="S42" s="11"/>
      <c r="T42" s="11"/>
      <c r="U42" s="11"/>
      <c r="V42" s="11"/>
      <c r="W42" s="11"/>
      <c r="X42" s="11"/>
      <c r="Y42" s="11"/>
      <c r="Z42" s="11"/>
      <c r="AA42" s="11"/>
    </row>
    <row r="43">
      <c r="A43" s="30"/>
      <c r="B43" s="31"/>
      <c r="C43" s="75"/>
      <c r="D43" s="35" t="s">
        <v>168</v>
      </c>
      <c r="E43" s="31"/>
      <c r="F43" s="36"/>
      <c r="G43" s="65"/>
      <c r="H43" s="31"/>
      <c r="I43" s="75"/>
      <c r="J43" s="11" t="str">
        <f>IFERROR(__xludf.DUMMYFUNCTION("GOOGLETRANSLATE(D43,""ID"",""EN"")"),"105% : 2W Ni IDR 315 | 4W Ni IDR 420")</f>
        <v>105% : 2W Ni IDR 315 | 4W Ni IDR 420</v>
      </c>
      <c r="K43" s="31"/>
      <c r="L43" s="11"/>
      <c r="M43" s="11"/>
      <c r="N43" s="31"/>
      <c r="O43" s="11"/>
      <c r="P43" s="11"/>
      <c r="Q43" s="11"/>
      <c r="R43" s="11"/>
      <c r="S43" s="11"/>
      <c r="T43" s="11"/>
      <c r="U43" s="11"/>
      <c r="V43" s="11"/>
      <c r="W43" s="11"/>
      <c r="X43" s="11"/>
      <c r="Y43" s="11"/>
      <c r="Z43" s="11"/>
      <c r="AA43" s="11"/>
    </row>
    <row r="44">
      <c r="A44" s="30"/>
      <c r="B44" s="31"/>
      <c r="C44" s="75"/>
      <c r="D44" s="35" t="s">
        <v>169</v>
      </c>
      <c r="E44" s="31"/>
      <c r="F44" s="36"/>
      <c r="G44" s="65"/>
      <c r="H44" s="31"/>
      <c r="I44" s="75"/>
      <c r="J44" s="11" t="str">
        <f>IFERROR(__xludf.DUMMYFUNCTION("GOOGLETRANSLATE(D44,""ID"",""EN"")"),"100% - 104% : 2W Ni IDR 300 | 4W Ni IDR 400")</f>
        <v>100% - 104% : 2W Ni IDR 300 | 4W Ni IDR 400</v>
      </c>
      <c r="K44" s="31"/>
      <c r="L44" s="11"/>
      <c r="M44" s="11"/>
      <c r="N44" s="31"/>
      <c r="O44" s="11"/>
      <c r="P44" s="11"/>
      <c r="Q44" s="11"/>
      <c r="R44" s="11"/>
      <c r="S44" s="11"/>
      <c r="T44" s="11"/>
      <c r="U44" s="11"/>
      <c r="V44" s="11"/>
      <c r="W44" s="11"/>
      <c r="X44" s="11"/>
      <c r="Y44" s="11"/>
      <c r="Z44" s="11"/>
      <c r="AA44" s="11"/>
    </row>
    <row r="45">
      <c r="A45" s="55"/>
      <c r="B45" s="39"/>
      <c r="C45" s="76"/>
      <c r="D45" s="77" t="s">
        <v>170</v>
      </c>
      <c r="E45" s="39"/>
      <c r="F45" s="67"/>
      <c r="G45" s="68"/>
      <c r="H45" s="39"/>
      <c r="I45" s="76"/>
      <c r="J45" s="38" t="str">
        <f>IFERROR(__xludf.DUMMYFUNCTION("GOOGLETRANSLATE(D45,""ID"",""EN"")"),"95% - 100% : 2W Ni IDR 285 | 4W Ni IDR 380")</f>
        <v>95% - 100% : 2W Ni IDR 285 | 4W Ni IDR 380</v>
      </c>
      <c r="K45" s="39"/>
      <c r="L45" s="38"/>
      <c r="M45" s="38"/>
      <c r="N45" s="39"/>
      <c r="O45" s="11"/>
      <c r="P45" s="11"/>
      <c r="Q45" s="11"/>
      <c r="R45" s="11"/>
      <c r="S45" s="11"/>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mergeCells count="52">
    <mergeCell ref="K17:K21"/>
    <mergeCell ref="K22:K27"/>
    <mergeCell ref="K30:K36"/>
    <mergeCell ref="A17:A21"/>
    <mergeCell ref="B17:B21"/>
    <mergeCell ref="H17:H21"/>
    <mergeCell ref="N17:N21"/>
    <mergeCell ref="B22:B27"/>
    <mergeCell ref="H22:H27"/>
    <mergeCell ref="N22:N27"/>
    <mergeCell ref="E30:E36"/>
    <mergeCell ref="E37:E45"/>
    <mergeCell ref="H37:H45"/>
    <mergeCell ref="K37:K45"/>
    <mergeCell ref="A30:A36"/>
    <mergeCell ref="B30:B36"/>
    <mergeCell ref="H30:H36"/>
    <mergeCell ref="N30:N36"/>
    <mergeCell ref="G31:G36"/>
    <mergeCell ref="A37:A45"/>
    <mergeCell ref="B37:B45"/>
    <mergeCell ref="N37:N45"/>
    <mergeCell ref="E4:E12"/>
    <mergeCell ref="H4:H12"/>
    <mergeCell ref="G8:G11"/>
    <mergeCell ref="K4:K12"/>
    <mergeCell ref="N4:N12"/>
    <mergeCell ref="R4:R12"/>
    <mergeCell ref="S4:S12"/>
    <mergeCell ref="C3:D3"/>
    <mergeCell ref="F3:G3"/>
    <mergeCell ref="I3:J3"/>
    <mergeCell ref="L3:M3"/>
    <mergeCell ref="O3:Q3"/>
    <mergeCell ref="A4:A12"/>
    <mergeCell ref="B4:B12"/>
    <mergeCell ref="A13:A16"/>
    <mergeCell ref="B13:B16"/>
    <mergeCell ref="E13:E16"/>
    <mergeCell ref="H13:H16"/>
    <mergeCell ref="K13:K16"/>
    <mergeCell ref="N13:N16"/>
    <mergeCell ref="G14:G16"/>
    <mergeCell ref="E17:E21"/>
    <mergeCell ref="E22:E27"/>
    <mergeCell ref="E28:E29"/>
    <mergeCell ref="H28:H29"/>
    <mergeCell ref="K28:K29"/>
    <mergeCell ref="N28:N29"/>
    <mergeCell ref="A22:A27"/>
    <mergeCell ref="A28:A29"/>
    <mergeCell ref="B28:B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13"/>
    <col customWidth="1" min="2" max="2" width="13.5"/>
    <col customWidth="1" min="3" max="3" width="19.0"/>
    <col customWidth="1" min="4" max="4" width="19.25"/>
  </cols>
  <sheetData>
    <row r="1">
      <c r="A1" s="1" t="s">
        <v>0</v>
      </c>
      <c r="B1" s="1" t="s">
        <v>171</v>
      </c>
      <c r="C1" s="1" t="s">
        <v>172</v>
      </c>
      <c r="D1" s="1" t="s">
        <v>173</v>
      </c>
      <c r="E1" s="78" t="s">
        <v>174</v>
      </c>
      <c r="F1" s="78" t="s">
        <v>175</v>
      </c>
      <c r="G1" s="78" t="s">
        <v>176</v>
      </c>
      <c r="H1" s="1" t="s">
        <v>177</v>
      </c>
    </row>
    <row r="2">
      <c r="A2" s="1">
        <v>1.0</v>
      </c>
      <c r="B2" s="79">
        <v>45320.0</v>
      </c>
      <c r="C2" s="1" t="s">
        <v>178</v>
      </c>
      <c r="D2" s="1" t="s">
        <v>179</v>
      </c>
      <c r="E2" s="1" t="s">
        <v>180</v>
      </c>
      <c r="F2" s="1" t="s">
        <v>181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8.38"/>
    <col customWidth="1" min="3" max="3" width="7.63"/>
    <col customWidth="1" min="4" max="4" width="18.38"/>
    <col customWidth="1" min="5" max="5" width="14.38"/>
  </cols>
  <sheetData>
    <row r="1">
      <c r="A1" s="80" t="s">
        <v>182</v>
      </c>
      <c r="B1" s="80" t="s">
        <v>174</v>
      </c>
      <c r="C1" s="80" t="s">
        <v>175</v>
      </c>
      <c r="D1" s="80" t="s">
        <v>176</v>
      </c>
      <c r="E1" s="81" t="s">
        <v>183</v>
      </c>
      <c r="F1" s="1" t="s">
        <v>184</v>
      </c>
    </row>
    <row r="2">
      <c r="A2" s="82" t="s">
        <v>185</v>
      </c>
      <c r="B2" s="82" t="s">
        <v>72</v>
      </c>
      <c r="C2" s="82" t="s">
        <v>186</v>
      </c>
      <c r="D2" s="82" t="s">
        <v>187</v>
      </c>
      <c r="E2" s="83" t="str">
        <f t="shared" ref="E2:E66" si="1">if(C2="YL","Ni",if(C2="GP","GP",if(C2="RACING","IX",if(C2="IL","IX",if(C2="IX","IX",if(C2="PL","IX","NONE"))))))</f>
        <v>Ni</v>
      </c>
      <c r="F2" s="84">
        <v>76200.0</v>
      </c>
    </row>
    <row r="3">
      <c r="A3" s="85" t="s">
        <v>188</v>
      </c>
      <c r="B3" s="85" t="s">
        <v>72</v>
      </c>
      <c r="C3" s="86" t="s">
        <v>186</v>
      </c>
      <c r="D3" s="86" t="s">
        <v>189</v>
      </c>
      <c r="E3" s="85" t="str">
        <f t="shared" si="1"/>
        <v>Ni</v>
      </c>
      <c r="F3" s="84">
        <v>15900.0</v>
      </c>
    </row>
    <row r="4">
      <c r="A4" s="85" t="s">
        <v>190</v>
      </c>
      <c r="B4" s="85" t="s">
        <v>72</v>
      </c>
      <c r="C4" s="87" t="s">
        <v>186</v>
      </c>
      <c r="D4" s="87" t="s">
        <v>191</v>
      </c>
      <c r="E4" s="85" t="str">
        <f t="shared" si="1"/>
        <v>Ni</v>
      </c>
      <c r="F4" s="84">
        <v>14200.0</v>
      </c>
    </row>
    <row r="5">
      <c r="A5" s="85" t="s">
        <v>192</v>
      </c>
      <c r="B5" s="85" t="s">
        <v>72</v>
      </c>
      <c r="C5" s="88" t="s">
        <v>186</v>
      </c>
      <c r="D5" s="88" t="s">
        <v>193</v>
      </c>
      <c r="E5" s="85" t="str">
        <f t="shared" si="1"/>
        <v>Ni</v>
      </c>
      <c r="F5" s="84">
        <v>15900.0</v>
      </c>
    </row>
    <row r="6">
      <c r="A6" s="85" t="s">
        <v>194</v>
      </c>
      <c r="B6" s="85" t="s">
        <v>72</v>
      </c>
      <c r="C6" s="87" t="s">
        <v>186</v>
      </c>
      <c r="D6" s="87" t="s">
        <v>195</v>
      </c>
      <c r="E6" s="85" t="str">
        <f t="shared" si="1"/>
        <v>Ni</v>
      </c>
      <c r="F6" s="84">
        <v>15900.0</v>
      </c>
    </row>
    <row r="7">
      <c r="A7" s="85" t="s">
        <v>196</v>
      </c>
      <c r="B7" s="85" t="s">
        <v>72</v>
      </c>
      <c r="C7" s="88" t="s">
        <v>186</v>
      </c>
      <c r="D7" s="88" t="s">
        <v>197</v>
      </c>
      <c r="E7" s="85" t="str">
        <f t="shared" si="1"/>
        <v>Ni</v>
      </c>
      <c r="F7" s="84">
        <v>15900.0</v>
      </c>
    </row>
    <row r="8">
      <c r="A8" s="85" t="s">
        <v>198</v>
      </c>
      <c r="B8" s="85" t="s">
        <v>72</v>
      </c>
      <c r="C8" s="87" t="s">
        <v>186</v>
      </c>
      <c r="D8" s="87" t="s">
        <v>199</v>
      </c>
      <c r="E8" s="85" t="str">
        <f t="shared" si="1"/>
        <v>Ni</v>
      </c>
      <c r="F8" s="84">
        <v>15900.0</v>
      </c>
    </row>
    <row r="9">
      <c r="A9" s="85" t="s">
        <v>200</v>
      </c>
      <c r="B9" s="85" t="s">
        <v>72</v>
      </c>
      <c r="C9" s="88" t="s">
        <v>186</v>
      </c>
      <c r="D9" s="88" t="s">
        <v>201</v>
      </c>
      <c r="E9" s="85" t="str">
        <f t="shared" si="1"/>
        <v>Ni</v>
      </c>
      <c r="F9" s="84">
        <v>37000.0</v>
      </c>
    </row>
    <row r="10">
      <c r="A10" s="89" t="s">
        <v>202</v>
      </c>
      <c r="B10" s="85" t="s">
        <v>72</v>
      </c>
      <c r="C10" s="88" t="s">
        <v>186</v>
      </c>
      <c r="D10" s="90" t="s">
        <v>203</v>
      </c>
      <c r="E10" s="85" t="str">
        <f t="shared" si="1"/>
        <v>Ni</v>
      </c>
      <c r="F10" s="84">
        <v>37000.0</v>
      </c>
    </row>
    <row r="11">
      <c r="A11" s="85" t="s">
        <v>204</v>
      </c>
      <c r="B11" s="85" t="s">
        <v>72</v>
      </c>
      <c r="C11" s="87" t="s">
        <v>186</v>
      </c>
      <c r="D11" s="87" t="s">
        <v>205</v>
      </c>
      <c r="E11" s="85" t="str">
        <f t="shared" si="1"/>
        <v>Ni</v>
      </c>
      <c r="F11" s="84">
        <v>15900.0</v>
      </c>
    </row>
    <row r="12">
      <c r="A12" s="85" t="s">
        <v>206</v>
      </c>
      <c r="B12" s="85" t="s">
        <v>72</v>
      </c>
      <c r="C12" s="88" t="s">
        <v>186</v>
      </c>
      <c r="D12" s="88" t="s">
        <v>207</v>
      </c>
      <c r="E12" s="85" t="str">
        <f t="shared" si="1"/>
        <v>Ni</v>
      </c>
      <c r="F12" s="84">
        <v>15900.0</v>
      </c>
    </row>
    <row r="13">
      <c r="A13" s="85" t="s">
        <v>208</v>
      </c>
      <c r="B13" s="85" t="s">
        <v>72</v>
      </c>
      <c r="C13" s="87" t="s">
        <v>186</v>
      </c>
      <c r="D13" s="87" t="s">
        <v>209</v>
      </c>
      <c r="E13" s="85" t="str">
        <f t="shared" si="1"/>
        <v>Ni</v>
      </c>
      <c r="F13" s="84">
        <v>15900.0</v>
      </c>
    </row>
    <row r="14">
      <c r="A14" s="85" t="s">
        <v>210</v>
      </c>
      <c r="B14" s="85" t="s">
        <v>72</v>
      </c>
      <c r="C14" s="88" t="s">
        <v>186</v>
      </c>
      <c r="D14" s="88" t="s">
        <v>211</v>
      </c>
      <c r="E14" s="85" t="str">
        <f t="shared" si="1"/>
        <v>Ni</v>
      </c>
      <c r="F14" s="84">
        <v>15900.0</v>
      </c>
    </row>
    <row r="15">
      <c r="A15" s="85" t="s">
        <v>212</v>
      </c>
      <c r="B15" s="85" t="s">
        <v>72</v>
      </c>
      <c r="C15" s="87" t="s">
        <v>186</v>
      </c>
      <c r="D15" s="87" t="s">
        <v>213</v>
      </c>
      <c r="E15" s="85" t="str">
        <f t="shared" si="1"/>
        <v>Ni</v>
      </c>
      <c r="F15" s="84">
        <v>15900.0</v>
      </c>
    </row>
    <row r="16">
      <c r="A16" s="85" t="s">
        <v>214</v>
      </c>
      <c r="B16" s="85" t="s">
        <v>72</v>
      </c>
      <c r="C16" s="88" t="s">
        <v>186</v>
      </c>
      <c r="D16" s="88" t="s">
        <v>215</v>
      </c>
      <c r="E16" s="85" t="str">
        <f t="shared" si="1"/>
        <v>Ni</v>
      </c>
      <c r="F16" s="84">
        <v>14200.0</v>
      </c>
    </row>
    <row r="17">
      <c r="A17" s="85" t="s">
        <v>216</v>
      </c>
      <c r="B17" s="85" t="s">
        <v>72</v>
      </c>
      <c r="C17" s="87" t="s">
        <v>186</v>
      </c>
      <c r="D17" s="87" t="s">
        <v>217</v>
      </c>
      <c r="E17" s="85" t="str">
        <f t="shared" si="1"/>
        <v>Ni</v>
      </c>
      <c r="F17" s="84">
        <v>13100.0</v>
      </c>
    </row>
    <row r="18">
      <c r="A18" s="85" t="s">
        <v>218</v>
      </c>
      <c r="B18" s="85" t="s">
        <v>72</v>
      </c>
      <c r="C18" s="88" t="s">
        <v>186</v>
      </c>
      <c r="D18" s="88" t="s">
        <v>219</v>
      </c>
      <c r="E18" s="85" t="str">
        <f t="shared" si="1"/>
        <v>Ni</v>
      </c>
      <c r="F18" s="84">
        <v>14200.0</v>
      </c>
    </row>
    <row r="19">
      <c r="A19" s="85" t="s">
        <v>220</v>
      </c>
      <c r="B19" s="85" t="s">
        <v>72</v>
      </c>
      <c r="C19" s="87" t="s">
        <v>186</v>
      </c>
      <c r="D19" s="87" t="s">
        <v>221</v>
      </c>
      <c r="E19" s="85" t="str">
        <f t="shared" si="1"/>
        <v>Ni</v>
      </c>
      <c r="F19" s="84">
        <v>14200.0</v>
      </c>
    </row>
    <row r="20">
      <c r="A20" s="85" t="s">
        <v>222</v>
      </c>
      <c r="B20" s="85" t="s">
        <v>72</v>
      </c>
      <c r="C20" s="88" t="s">
        <v>186</v>
      </c>
      <c r="D20" s="88" t="s">
        <v>223</v>
      </c>
      <c r="E20" s="85" t="str">
        <f t="shared" si="1"/>
        <v>Ni</v>
      </c>
      <c r="F20" s="84">
        <v>15900.0</v>
      </c>
    </row>
    <row r="21">
      <c r="A21" s="85" t="s">
        <v>224</v>
      </c>
      <c r="B21" s="85" t="s">
        <v>72</v>
      </c>
      <c r="C21" s="87" t="s">
        <v>186</v>
      </c>
      <c r="D21" s="87" t="s">
        <v>225</v>
      </c>
      <c r="E21" s="85" t="str">
        <f t="shared" si="1"/>
        <v>Ni</v>
      </c>
      <c r="F21" s="84">
        <v>12900.0</v>
      </c>
    </row>
    <row r="22">
      <c r="A22" s="85" t="s">
        <v>226</v>
      </c>
      <c r="B22" s="85" t="s">
        <v>72</v>
      </c>
      <c r="C22" s="88" t="s">
        <v>186</v>
      </c>
      <c r="D22" s="88" t="s">
        <v>227</v>
      </c>
      <c r="E22" s="85" t="str">
        <f t="shared" si="1"/>
        <v>Ni</v>
      </c>
      <c r="F22" s="84">
        <v>43750.0</v>
      </c>
    </row>
    <row r="23">
      <c r="A23" s="85" t="s">
        <v>228</v>
      </c>
      <c r="B23" s="85" t="s">
        <v>72</v>
      </c>
      <c r="C23" s="87" t="s">
        <v>186</v>
      </c>
      <c r="D23" s="87" t="s">
        <v>229</v>
      </c>
      <c r="E23" s="85" t="str">
        <f t="shared" si="1"/>
        <v>Ni</v>
      </c>
      <c r="F23" s="84">
        <v>14200.0</v>
      </c>
    </row>
    <row r="24">
      <c r="A24" s="85" t="s">
        <v>230</v>
      </c>
      <c r="B24" s="85" t="s">
        <v>72</v>
      </c>
      <c r="C24" s="88" t="s">
        <v>186</v>
      </c>
      <c r="D24" s="88" t="s">
        <v>231</v>
      </c>
      <c r="E24" s="85" t="str">
        <f t="shared" si="1"/>
        <v>Ni</v>
      </c>
      <c r="F24" s="84">
        <v>34600.0</v>
      </c>
    </row>
    <row r="25">
      <c r="A25" s="85" t="s">
        <v>232</v>
      </c>
      <c r="B25" s="85" t="s">
        <v>72</v>
      </c>
      <c r="C25" s="87" t="s">
        <v>186</v>
      </c>
      <c r="D25" s="87" t="s">
        <v>233</v>
      </c>
      <c r="E25" s="85" t="str">
        <f t="shared" si="1"/>
        <v>Ni</v>
      </c>
      <c r="F25" s="84">
        <v>34600.0</v>
      </c>
    </row>
    <row r="26">
      <c r="A26" s="85" t="s">
        <v>234</v>
      </c>
      <c r="B26" s="85" t="s">
        <v>72</v>
      </c>
      <c r="C26" s="88" t="s">
        <v>186</v>
      </c>
      <c r="D26" s="88" t="s">
        <v>235</v>
      </c>
      <c r="E26" s="85" t="str">
        <f t="shared" si="1"/>
        <v>Ni</v>
      </c>
      <c r="F26" s="84">
        <v>12900.0</v>
      </c>
    </row>
    <row r="27">
      <c r="A27" s="85" t="s">
        <v>236</v>
      </c>
      <c r="B27" s="85" t="s">
        <v>72</v>
      </c>
      <c r="C27" s="87" t="s">
        <v>186</v>
      </c>
      <c r="D27" s="87" t="s">
        <v>237</v>
      </c>
      <c r="E27" s="85" t="str">
        <f t="shared" si="1"/>
        <v>Ni</v>
      </c>
      <c r="F27" s="84">
        <v>12900.0</v>
      </c>
    </row>
    <row r="28">
      <c r="A28" s="85" t="s">
        <v>238</v>
      </c>
      <c r="B28" s="85" t="s">
        <v>72</v>
      </c>
      <c r="C28" s="88" t="s">
        <v>186</v>
      </c>
      <c r="D28" s="88" t="s">
        <v>239</v>
      </c>
      <c r="E28" s="85" t="str">
        <f t="shared" si="1"/>
        <v>Ni</v>
      </c>
      <c r="F28" s="84">
        <v>12900.0</v>
      </c>
    </row>
    <row r="29">
      <c r="A29" s="85" t="s">
        <v>240</v>
      </c>
      <c r="B29" s="85" t="s">
        <v>72</v>
      </c>
      <c r="C29" s="87" t="s">
        <v>186</v>
      </c>
      <c r="D29" s="87" t="s">
        <v>241</v>
      </c>
      <c r="E29" s="85" t="str">
        <f t="shared" si="1"/>
        <v>Ni</v>
      </c>
      <c r="F29" s="84">
        <v>12900.0</v>
      </c>
    </row>
    <row r="30">
      <c r="A30" s="85" t="s">
        <v>242</v>
      </c>
      <c r="B30" s="85" t="s">
        <v>72</v>
      </c>
      <c r="C30" s="88" t="s">
        <v>186</v>
      </c>
      <c r="D30" s="88" t="s">
        <v>243</v>
      </c>
      <c r="E30" s="85" t="str">
        <f t="shared" si="1"/>
        <v>Ni</v>
      </c>
      <c r="F30" s="84">
        <v>49900.0</v>
      </c>
    </row>
    <row r="31">
      <c r="A31" s="85" t="s">
        <v>244</v>
      </c>
      <c r="B31" s="85" t="s">
        <v>72</v>
      </c>
      <c r="C31" s="87" t="s">
        <v>186</v>
      </c>
      <c r="D31" s="87" t="s">
        <v>245</v>
      </c>
      <c r="E31" s="85" t="str">
        <f t="shared" si="1"/>
        <v>Ni</v>
      </c>
      <c r="F31" s="84">
        <v>49900.0</v>
      </c>
    </row>
    <row r="32">
      <c r="A32" s="89" t="s">
        <v>246</v>
      </c>
      <c r="B32" s="85" t="s">
        <v>72</v>
      </c>
      <c r="C32" s="87" t="s">
        <v>186</v>
      </c>
      <c r="D32" s="90" t="s">
        <v>247</v>
      </c>
      <c r="E32" s="85" t="str">
        <f t="shared" si="1"/>
        <v>Ni</v>
      </c>
      <c r="F32" s="6">
        <v>49900.0</v>
      </c>
    </row>
    <row r="33">
      <c r="A33" s="85" t="s">
        <v>248</v>
      </c>
      <c r="B33" s="85" t="s">
        <v>72</v>
      </c>
      <c r="C33" s="88" t="s">
        <v>186</v>
      </c>
      <c r="D33" s="88" t="s">
        <v>249</v>
      </c>
      <c r="E33" s="85" t="str">
        <f t="shared" si="1"/>
        <v>Ni</v>
      </c>
      <c r="F33" s="84">
        <v>13900.0</v>
      </c>
    </row>
    <row r="34">
      <c r="A34" s="89" t="s">
        <v>250</v>
      </c>
      <c r="B34" s="85" t="s">
        <v>72</v>
      </c>
      <c r="C34" s="88" t="s">
        <v>186</v>
      </c>
      <c r="D34" s="91" t="s">
        <v>77</v>
      </c>
      <c r="E34" s="85" t="str">
        <f t="shared" si="1"/>
        <v>Ni</v>
      </c>
      <c r="F34" s="6">
        <v>15900.0</v>
      </c>
    </row>
    <row r="35">
      <c r="A35" s="85" t="s">
        <v>251</v>
      </c>
      <c r="B35" s="85" t="s">
        <v>72</v>
      </c>
      <c r="C35" s="87" t="s">
        <v>186</v>
      </c>
      <c r="D35" s="87" t="s">
        <v>252</v>
      </c>
      <c r="E35" s="85" t="str">
        <f t="shared" si="1"/>
        <v>Ni</v>
      </c>
      <c r="F35" s="84">
        <v>14200.0</v>
      </c>
    </row>
    <row r="36">
      <c r="A36" s="85" t="s">
        <v>253</v>
      </c>
      <c r="B36" s="85" t="s">
        <v>72</v>
      </c>
      <c r="C36" s="88" t="s">
        <v>186</v>
      </c>
      <c r="D36" s="88" t="s">
        <v>254</v>
      </c>
      <c r="E36" s="85" t="str">
        <f t="shared" si="1"/>
        <v>Ni</v>
      </c>
      <c r="F36" s="84">
        <v>14200.0</v>
      </c>
    </row>
    <row r="37">
      <c r="A37" s="85" t="s">
        <v>255</v>
      </c>
      <c r="B37" s="85" t="s">
        <v>72</v>
      </c>
      <c r="C37" s="87" t="s">
        <v>186</v>
      </c>
      <c r="D37" s="87" t="s">
        <v>256</v>
      </c>
      <c r="E37" s="85" t="str">
        <f t="shared" si="1"/>
        <v>Ni</v>
      </c>
      <c r="F37" s="84">
        <v>14200.0</v>
      </c>
    </row>
    <row r="38">
      <c r="A38" s="85" t="s">
        <v>257</v>
      </c>
      <c r="B38" s="85" t="s">
        <v>72</v>
      </c>
      <c r="C38" s="88" t="s">
        <v>186</v>
      </c>
      <c r="D38" s="88" t="s">
        <v>258</v>
      </c>
      <c r="E38" s="85" t="str">
        <f t="shared" si="1"/>
        <v>Ni</v>
      </c>
      <c r="F38" s="84">
        <v>115100.0</v>
      </c>
    </row>
    <row r="39">
      <c r="A39" s="89" t="s">
        <v>259</v>
      </c>
      <c r="B39" s="85" t="s">
        <v>72</v>
      </c>
      <c r="C39" s="88" t="s">
        <v>186</v>
      </c>
      <c r="D39" s="90" t="s">
        <v>260</v>
      </c>
      <c r="E39" s="85" t="str">
        <f t="shared" si="1"/>
        <v>Ni</v>
      </c>
      <c r="F39" s="84">
        <v>115100.0</v>
      </c>
    </row>
    <row r="40">
      <c r="A40" s="85" t="s">
        <v>261</v>
      </c>
      <c r="B40" s="85" t="s">
        <v>72</v>
      </c>
      <c r="C40" s="87" t="s">
        <v>186</v>
      </c>
      <c r="D40" s="87" t="s">
        <v>262</v>
      </c>
      <c r="E40" s="85" t="str">
        <f t="shared" si="1"/>
        <v>Ni</v>
      </c>
      <c r="F40" s="84">
        <v>14200.0</v>
      </c>
    </row>
    <row r="41">
      <c r="A41" s="85" t="s">
        <v>263</v>
      </c>
      <c r="B41" s="85" t="s">
        <v>72</v>
      </c>
      <c r="C41" s="88" t="s">
        <v>186</v>
      </c>
      <c r="D41" s="88" t="s">
        <v>264</v>
      </c>
      <c r="E41" s="85" t="str">
        <f t="shared" si="1"/>
        <v>Ni</v>
      </c>
      <c r="F41" s="84">
        <v>14200.0</v>
      </c>
    </row>
    <row r="42">
      <c r="A42" s="85" t="s">
        <v>265</v>
      </c>
      <c r="B42" s="85" t="s">
        <v>72</v>
      </c>
      <c r="C42" s="87" t="s">
        <v>186</v>
      </c>
      <c r="D42" s="87" t="s">
        <v>266</v>
      </c>
      <c r="E42" s="85" t="str">
        <f t="shared" si="1"/>
        <v>Ni</v>
      </c>
      <c r="F42" s="84">
        <v>14200.0</v>
      </c>
    </row>
    <row r="43">
      <c r="A43" s="85" t="s">
        <v>267</v>
      </c>
      <c r="B43" s="85" t="s">
        <v>72</v>
      </c>
      <c r="C43" s="88" t="s">
        <v>186</v>
      </c>
      <c r="D43" s="88" t="s">
        <v>268</v>
      </c>
      <c r="E43" s="85" t="str">
        <f t="shared" si="1"/>
        <v>Ni</v>
      </c>
      <c r="F43" s="84">
        <v>49000.0</v>
      </c>
    </row>
    <row r="44">
      <c r="A44" s="85" t="s">
        <v>269</v>
      </c>
      <c r="B44" s="85" t="s">
        <v>72</v>
      </c>
      <c r="C44" s="87" t="s">
        <v>186</v>
      </c>
      <c r="D44" s="87" t="s">
        <v>270</v>
      </c>
      <c r="E44" s="85" t="str">
        <f t="shared" si="1"/>
        <v>Ni</v>
      </c>
      <c r="F44" s="84">
        <v>14200.0</v>
      </c>
    </row>
    <row r="45">
      <c r="A45" s="85" t="s">
        <v>271</v>
      </c>
      <c r="B45" s="85" t="s">
        <v>72</v>
      </c>
      <c r="C45" s="88" t="s">
        <v>186</v>
      </c>
      <c r="D45" s="88" t="s">
        <v>272</v>
      </c>
      <c r="E45" s="85" t="str">
        <f t="shared" si="1"/>
        <v>Ni</v>
      </c>
      <c r="F45" s="84">
        <v>14200.0</v>
      </c>
    </row>
    <row r="46">
      <c r="A46" s="89" t="s">
        <v>273</v>
      </c>
      <c r="B46" s="85" t="s">
        <v>72</v>
      </c>
      <c r="C46" s="88" t="s">
        <v>186</v>
      </c>
      <c r="D46" s="91" t="s">
        <v>274</v>
      </c>
      <c r="E46" s="85" t="str">
        <f t="shared" si="1"/>
        <v>Ni</v>
      </c>
      <c r="F46" s="6">
        <v>83900.0</v>
      </c>
    </row>
    <row r="47">
      <c r="A47" s="85" t="s">
        <v>275</v>
      </c>
      <c r="B47" s="85" t="s">
        <v>72</v>
      </c>
      <c r="C47" s="87" t="s">
        <v>186</v>
      </c>
      <c r="D47" s="87" t="s">
        <v>276</v>
      </c>
      <c r="E47" s="85" t="str">
        <f t="shared" si="1"/>
        <v>Ni</v>
      </c>
      <c r="F47" s="84">
        <v>53850.0</v>
      </c>
    </row>
    <row r="48">
      <c r="A48" s="85" t="s">
        <v>277</v>
      </c>
      <c r="B48" s="85" t="s">
        <v>72</v>
      </c>
      <c r="C48" s="88" t="s">
        <v>186</v>
      </c>
      <c r="D48" s="88" t="s">
        <v>278</v>
      </c>
      <c r="E48" s="85" t="str">
        <f t="shared" si="1"/>
        <v>Ni</v>
      </c>
      <c r="F48" s="84">
        <v>49000.0</v>
      </c>
    </row>
    <row r="49">
      <c r="A49" s="89" t="s">
        <v>279</v>
      </c>
      <c r="B49" s="85" t="s">
        <v>72</v>
      </c>
      <c r="C49" s="88" t="s">
        <v>186</v>
      </c>
      <c r="D49" s="91" t="s">
        <v>280</v>
      </c>
      <c r="E49" s="85" t="str">
        <f t="shared" si="1"/>
        <v>Ni</v>
      </c>
      <c r="F49" s="6">
        <v>49000.0</v>
      </c>
    </row>
    <row r="50">
      <c r="A50" s="85" t="s">
        <v>281</v>
      </c>
      <c r="B50" s="85" t="s">
        <v>72</v>
      </c>
      <c r="C50" s="87" t="s">
        <v>186</v>
      </c>
      <c r="D50" s="87" t="s">
        <v>282</v>
      </c>
      <c r="E50" s="85" t="str">
        <f t="shared" si="1"/>
        <v>Ni</v>
      </c>
      <c r="F50" s="84">
        <v>14200.0</v>
      </c>
    </row>
    <row r="51">
      <c r="A51" s="85" t="s">
        <v>283</v>
      </c>
      <c r="B51" s="85" t="s">
        <v>72</v>
      </c>
      <c r="C51" s="88" t="s">
        <v>186</v>
      </c>
      <c r="D51" s="88" t="s">
        <v>284</v>
      </c>
      <c r="E51" s="85" t="str">
        <f t="shared" si="1"/>
        <v>Ni</v>
      </c>
      <c r="F51" s="84">
        <v>97100.0</v>
      </c>
    </row>
    <row r="52">
      <c r="A52" s="85" t="s">
        <v>285</v>
      </c>
      <c r="B52" s="85" t="s">
        <v>72</v>
      </c>
      <c r="C52" s="87" t="s">
        <v>186</v>
      </c>
      <c r="D52" s="87" t="s">
        <v>286</v>
      </c>
      <c r="E52" s="85" t="str">
        <f t="shared" si="1"/>
        <v>Ni</v>
      </c>
      <c r="F52" s="84">
        <v>13100.0</v>
      </c>
    </row>
    <row r="53">
      <c r="A53" s="85" t="s">
        <v>287</v>
      </c>
      <c r="B53" s="85" t="s">
        <v>72</v>
      </c>
      <c r="C53" s="88" t="s">
        <v>186</v>
      </c>
      <c r="D53" s="88" t="s">
        <v>288</v>
      </c>
      <c r="E53" s="85" t="str">
        <f t="shared" si="1"/>
        <v>Ni</v>
      </c>
      <c r="F53" s="84">
        <v>13100.0</v>
      </c>
    </row>
    <row r="54">
      <c r="A54" s="85" t="s">
        <v>289</v>
      </c>
      <c r="B54" s="85" t="s">
        <v>72</v>
      </c>
      <c r="C54" s="87" t="s">
        <v>186</v>
      </c>
      <c r="D54" s="87" t="s">
        <v>290</v>
      </c>
      <c r="E54" s="85" t="str">
        <f t="shared" si="1"/>
        <v>Ni</v>
      </c>
      <c r="F54" s="84">
        <v>14200.0</v>
      </c>
    </row>
    <row r="55">
      <c r="A55" s="85" t="s">
        <v>291</v>
      </c>
      <c r="B55" s="85" t="s">
        <v>72</v>
      </c>
      <c r="C55" s="88" t="s">
        <v>186</v>
      </c>
      <c r="D55" s="88" t="s">
        <v>292</v>
      </c>
      <c r="E55" s="85" t="str">
        <f t="shared" si="1"/>
        <v>Ni</v>
      </c>
      <c r="F55" s="84">
        <v>51100.0</v>
      </c>
    </row>
    <row r="56">
      <c r="A56" s="89" t="s">
        <v>293</v>
      </c>
      <c r="B56" s="85" t="s">
        <v>72</v>
      </c>
      <c r="C56" s="88" t="s">
        <v>186</v>
      </c>
      <c r="D56" s="90" t="s">
        <v>294</v>
      </c>
      <c r="E56" s="85" t="str">
        <f t="shared" si="1"/>
        <v>Ni</v>
      </c>
      <c r="F56" s="84">
        <v>51100.0</v>
      </c>
    </row>
    <row r="57">
      <c r="A57" s="85" t="s">
        <v>295</v>
      </c>
      <c r="B57" s="85" t="s">
        <v>72</v>
      </c>
      <c r="C57" s="87" t="s">
        <v>186</v>
      </c>
      <c r="D57" s="87" t="s">
        <v>296</v>
      </c>
      <c r="E57" s="85" t="str">
        <f t="shared" si="1"/>
        <v>Ni</v>
      </c>
      <c r="F57" s="84">
        <v>150700.0</v>
      </c>
    </row>
    <row r="58">
      <c r="A58" s="85" t="s">
        <v>297</v>
      </c>
      <c r="B58" s="85" t="s">
        <v>72</v>
      </c>
      <c r="C58" s="88" t="s">
        <v>186</v>
      </c>
      <c r="D58" s="88" t="s">
        <v>298</v>
      </c>
      <c r="E58" s="85" t="str">
        <f t="shared" si="1"/>
        <v>Ni</v>
      </c>
      <c r="F58" s="84">
        <v>51100.0</v>
      </c>
    </row>
    <row r="59">
      <c r="A59" s="82" t="s">
        <v>299</v>
      </c>
      <c r="B59" s="83" t="s">
        <v>72</v>
      </c>
      <c r="C59" s="83" t="s">
        <v>186</v>
      </c>
      <c r="D59" s="82" t="s">
        <v>300</v>
      </c>
      <c r="E59" s="83" t="str">
        <f t="shared" si="1"/>
        <v>Ni</v>
      </c>
      <c r="F59" s="84">
        <v>150700.0</v>
      </c>
    </row>
    <row r="60">
      <c r="A60" s="85" t="s">
        <v>301</v>
      </c>
      <c r="B60" s="85" t="s">
        <v>72</v>
      </c>
      <c r="C60" s="87" t="s">
        <v>186</v>
      </c>
      <c r="D60" s="87" t="s">
        <v>302</v>
      </c>
      <c r="E60" s="85" t="str">
        <f t="shared" si="1"/>
        <v>Ni</v>
      </c>
      <c r="F60" s="84">
        <v>150700.0</v>
      </c>
    </row>
    <row r="61">
      <c r="A61" s="85" t="s">
        <v>303</v>
      </c>
      <c r="B61" s="85" t="s">
        <v>72</v>
      </c>
      <c r="C61" s="88" t="s">
        <v>186</v>
      </c>
      <c r="D61" s="88" t="s">
        <v>304</v>
      </c>
      <c r="E61" s="85" t="str">
        <f t="shared" si="1"/>
        <v>Ni</v>
      </c>
      <c r="F61" s="84">
        <v>150700.0</v>
      </c>
    </row>
    <row r="62">
      <c r="A62" s="82" t="s">
        <v>305</v>
      </c>
      <c r="B62" s="83" t="s">
        <v>72</v>
      </c>
      <c r="C62" s="83" t="s">
        <v>186</v>
      </c>
      <c r="D62" s="82" t="s">
        <v>71</v>
      </c>
      <c r="E62" s="83" t="str">
        <f t="shared" si="1"/>
        <v>Ni</v>
      </c>
      <c r="F62" s="92">
        <v>222700.0</v>
      </c>
    </row>
    <row r="63">
      <c r="A63" s="85" t="s">
        <v>306</v>
      </c>
      <c r="B63" s="85" t="s">
        <v>72</v>
      </c>
      <c r="C63" s="87" t="s">
        <v>186</v>
      </c>
      <c r="D63" s="87" t="s">
        <v>307</v>
      </c>
      <c r="E63" s="85" t="str">
        <f t="shared" si="1"/>
        <v>Ni</v>
      </c>
      <c r="F63" s="84">
        <v>150700.0</v>
      </c>
    </row>
    <row r="64">
      <c r="A64" s="85" t="s">
        <v>308</v>
      </c>
      <c r="B64" s="85" t="s">
        <v>72</v>
      </c>
      <c r="C64" s="88" t="s">
        <v>186</v>
      </c>
      <c r="D64" s="88" t="s">
        <v>309</v>
      </c>
      <c r="E64" s="85" t="str">
        <f t="shared" si="1"/>
        <v>Ni</v>
      </c>
      <c r="F64" s="84">
        <v>150700.0</v>
      </c>
    </row>
    <row r="65">
      <c r="A65" s="82" t="s">
        <v>49</v>
      </c>
      <c r="B65" s="89" t="s">
        <v>72</v>
      </c>
      <c r="C65" s="91" t="s">
        <v>186</v>
      </c>
      <c r="D65" s="91" t="s">
        <v>50</v>
      </c>
      <c r="E65" s="85" t="str">
        <f t="shared" si="1"/>
        <v>Ni</v>
      </c>
      <c r="F65" s="84">
        <v>150700.0</v>
      </c>
    </row>
    <row r="66">
      <c r="A66" s="85" t="s">
        <v>310</v>
      </c>
      <c r="B66" s="85" t="s">
        <v>72</v>
      </c>
      <c r="C66" s="87" t="s">
        <v>186</v>
      </c>
      <c r="D66" s="87" t="s">
        <v>311</v>
      </c>
      <c r="E66" s="85" t="str">
        <f t="shared" si="1"/>
        <v>Ni</v>
      </c>
      <c r="F66" s="84">
        <v>18200.0</v>
      </c>
    </row>
    <row r="67">
      <c r="A67" s="89" t="s">
        <v>312</v>
      </c>
      <c r="B67" s="89" t="s">
        <v>72</v>
      </c>
      <c r="C67" s="90" t="s">
        <v>186</v>
      </c>
      <c r="D67" s="90" t="s">
        <v>313</v>
      </c>
      <c r="E67" s="89" t="s">
        <v>314</v>
      </c>
      <c r="F67" s="6">
        <v>18200.0</v>
      </c>
    </row>
    <row r="68">
      <c r="A68" s="85" t="s">
        <v>315</v>
      </c>
      <c r="B68" s="85" t="s">
        <v>72</v>
      </c>
      <c r="C68" s="88" t="s">
        <v>186</v>
      </c>
      <c r="D68" s="88" t="s">
        <v>316</v>
      </c>
      <c r="E68" s="85" t="str">
        <f t="shared" ref="E68:E233" si="2">if(C68="YL","Ni",if(C68="GP","GP",if(C68="RACING","IX",if(C68="IL","IX",if(C68="IX","IX",if(C68="PL","IX","NONE"))))))</f>
        <v>Ni</v>
      </c>
      <c r="F68" s="84">
        <v>20000.0</v>
      </c>
    </row>
    <row r="69">
      <c r="A69" s="85" t="s">
        <v>317</v>
      </c>
      <c r="B69" s="85" t="s">
        <v>72</v>
      </c>
      <c r="C69" s="87" t="s">
        <v>186</v>
      </c>
      <c r="D69" s="93" t="s">
        <v>318</v>
      </c>
      <c r="E69" s="85" t="str">
        <f t="shared" si="2"/>
        <v>Ni</v>
      </c>
      <c r="F69" s="84">
        <v>14200.0</v>
      </c>
    </row>
    <row r="70">
      <c r="A70" s="85" t="s">
        <v>319</v>
      </c>
      <c r="B70" s="85" t="s">
        <v>72</v>
      </c>
      <c r="C70" s="88" t="s">
        <v>186</v>
      </c>
      <c r="D70" s="93" t="s">
        <v>320</v>
      </c>
      <c r="E70" s="85" t="str">
        <f t="shared" si="2"/>
        <v>Ni</v>
      </c>
      <c r="F70" s="84">
        <v>14200.0</v>
      </c>
    </row>
    <row r="71">
      <c r="A71" s="85" t="s">
        <v>321</v>
      </c>
      <c r="B71" s="85" t="s">
        <v>72</v>
      </c>
      <c r="C71" s="87" t="s">
        <v>186</v>
      </c>
      <c r="D71" s="93" t="s">
        <v>322</v>
      </c>
      <c r="E71" s="85" t="str">
        <f t="shared" si="2"/>
        <v>Ni</v>
      </c>
      <c r="F71" s="84">
        <v>14200.0</v>
      </c>
    </row>
    <row r="72">
      <c r="A72" s="82" t="s">
        <v>323</v>
      </c>
      <c r="B72" s="83" t="s">
        <v>72</v>
      </c>
      <c r="C72" s="83" t="s">
        <v>186</v>
      </c>
      <c r="D72" s="82" t="s">
        <v>17</v>
      </c>
      <c r="E72" s="85" t="str">
        <f t="shared" si="2"/>
        <v>Ni</v>
      </c>
      <c r="F72" s="84">
        <v>14200.0</v>
      </c>
    </row>
    <row r="73">
      <c r="A73" s="82" t="s">
        <v>324</v>
      </c>
      <c r="B73" s="83" t="s">
        <v>72</v>
      </c>
      <c r="C73" s="83" t="s">
        <v>186</v>
      </c>
      <c r="D73" s="82" t="s">
        <v>19</v>
      </c>
      <c r="E73" s="85" t="str">
        <f t="shared" si="2"/>
        <v>Ni</v>
      </c>
      <c r="F73" s="84">
        <v>14200.0</v>
      </c>
    </row>
    <row r="74">
      <c r="A74" s="82" t="s">
        <v>325</v>
      </c>
      <c r="B74" s="83" t="s">
        <v>72</v>
      </c>
      <c r="C74" s="83" t="s">
        <v>186</v>
      </c>
      <c r="D74" s="82" t="s">
        <v>20</v>
      </c>
      <c r="E74" s="85" t="str">
        <f t="shared" si="2"/>
        <v>Ni</v>
      </c>
      <c r="F74" s="84">
        <v>14200.0</v>
      </c>
    </row>
    <row r="75">
      <c r="A75" s="85" t="s">
        <v>326</v>
      </c>
      <c r="B75" s="85" t="s">
        <v>72</v>
      </c>
      <c r="C75" s="88" t="s">
        <v>186</v>
      </c>
      <c r="D75" s="88" t="s">
        <v>327</v>
      </c>
      <c r="E75" s="85" t="str">
        <f t="shared" si="2"/>
        <v>Ni</v>
      </c>
      <c r="F75" s="84">
        <v>150700.0</v>
      </c>
    </row>
    <row r="76">
      <c r="A76" s="89" t="s">
        <v>328</v>
      </c>
      <c r="B76" s="89" t="s">
        <v>329</v>
      </c>
      <c r="C76" s="91" t="s">
        <v>330</v>
      </c>
      <c r="D76" s="91" t="s">
        <v>65</v>
      </c>
      <c r="E76" s="85" t="str">
        <f t="shared" si="2"/>
        <v>IX</v>
      </c>
      <c r="F76" s="6">
        <v>64600.0</v>
      </c>
    </row>
    <row r="77">
      <c r="A77" s="89" t="s">
        <v>331</v>
      </c>
      <c r="B77" s="89" t="s">
        <v>329</v>
      </c>
      <c r="C77" s="91" t="s">
        <v>330</v>
      </c>
      <c r="D77" s="91" t="s">
        <v>66</v>
      </c>
      <c r="E77" s="85" t="str">
        <f t="shared" si="2"/>
        <v>IX</v>
      </c>
      <c r="F77" s="6">
        <v>64600.0</v>
      </c>
    </row>
    <row r="78">
      <c r="A78" s="89" t="s">
        <v>332</v>
      </c>
      <c r="B78" s="89" t="s">
        <v>329</v>
      </c>
      <c r="C78" s="91" t="s">
        <v>330</v>
      </c>
      <c r="D78" s="91" t="s">
        <v>67</v>
      </c>
      <c r="E78" s="85" t="str">
        <f t="shared" si="2"/>
        <v>IX</v>
      </c>
      <c r="F78" s="6">
        <v>64600.0</v>
      </c>
    </row>
    <row r="79">
      <c r="A79" s="85" t="s">
        <v>333</v>
      </c>
      <c r="B79" s="85" t="s">
        <v>329</v>
      </c>
      <c r="C79" s="87" t="s">
        <v>334</v>
      </c>
      <c r="D79" s="87" t="s">
        <v>335</v>
      </c>
      <c r="E79" s="85" t="str">
        <f t="shared" si="2"/>
        <v>IX</v>
      </c>
      <c r="F79" s="84">
        <v>71700.0</v>
      </c>
    </row>
    <row r="80">
      <c r="A80" s="85" t="s">
        <v>336</v>
      </c>
      <c r="B80" s="85" t="s">
        <v>329</v>
      </c>
      <c r="C80" s="88" t="s">
        <v>337</v>
      </c>
      <c r="D80" s="88" t="s">
        <v>338</v>
      </c>
      <c r="E80" s="85" t="str">
        <f t="shared" si="2"/>
        <v>GP</v>
      </c>
      <c r="F80" s="84">
        <v>26800.0</v>
      </c>
    </row>
    <row r="81">
      <c r="A81" s="89" t="s">
        <v>339</v>
      </c>
      <c r="B81" s="85" t="s">
        <v>329</v>
      </c>
      <c r="C81" s="88" t="s">
        <v>337</v>
      </c>
      <c r="D81" s="90" t="s">
        <v>340</v>
      </c>
      <c r="E81" s="85" t="str">
        <f t="shared" si="2"/>
        <v>GP</v>
      </c>
      <c r="F81" s="84">
        <v>26800.0</v>
      </c>
    </row>
    <row r="82">
      <c r="A82" s="85" t="s">
        <v>341</v>
      </c>
      <c r="B82" s="85" t="s">
        <v>329</v>
      </c>
      <c r="C82" s="87" t="s">
        <v>334</v>
      </c>
      <c r="D82" s="87" t="s">
        <v>342</v>
      </c>
      <c r="E82" s="85" t="str">
        <f t="shared" si="2"/>
        <v>IX</v>
      </c>
      <c r="F82" s="84">
        <v>71700.0</v>
      </c>
    </row>
    <row r="83">
      <c r="A83" s="85" t="s">
        <v>343</v>
      </c>
      <c r="B83" s="85" t="s">
        <v>329</v>
      </c>
      <c r="C83" s="88" t="s">
        <v>334</v>
      </c>
      <c r="D83" s="88" t="s">
        <v>344</v>
      </c>
      <c r="E83" s="85" t="str">
        <f t="shared" si="2"/>
        <v>IX</v>
      </c>
      <c r="F83" s="84">
        <v>71700.0</v>
      </c>
    </row>
    <row r="84">
      <c r="A84" s="85" t="s">
        <v>345</v>
      </c>
      <c r="B84" s="85" t="s">
        <v>329</v>
      </c>
      <c r="C84" s="87" t="s">
        <v>334</v>
      </c>
      <c r="D84" s="87" t="s">
        <v>346</v>
      </c>
      <c r="E84" s="85" t="str">
        <f t="shared" si="2"/>
        <v>IX</v>
      </c>
      <c r="F84" s="1">
        <v>71700.0</v>
      </c>
    </row>
    <row r="85">
      <c r="A85" s="85" t="s">
        <v>347</v>
      </c>
      <c r="B85" s="85" t="s">
        <v>329</v>
      </c>
      <c r="C85" s="88" t="s">
        <v>334</v>
      </c>
      <c r="D85" s="88" t="s">
        <v>348</v>
      </c>
      <c r="E85" s="85" t="str">
        <f t="shared" si="2"/>
        <v>IX</v>
      </c>
      <c r="F85" s="84">
        <v>71700.0</v>
      </c>
    </row>
    <row r="86">
      <c r="A86" s="82" t="s">
        <v>349</v>
      </c>
      <c r="B86" s="85" t="s">
        <v>329</v>
      </c>
      <c r="C86" s="88" t="s">
        <v>334</v>
      </c>
      <c r="D86" s="90" t="s">
        <v>350</v>
      </c>
      <c r="E86" s="85" t="str">
        <f t="shared" si="2"/>
        <v>IX</v>
      </c>
      <c r="F86" s="84">
        <v>71700.0</v>
      </c>
    </row>
    <row r="87">
      <c r="A87" s="85" t="s">
        <v>351</v>
      </c>
      <c r="B87" s="85" t="s">
        <v>329</v>
      </c>
      <c r="C87" s="87" t="s">
        <v>334</v>
      </c>
      <c r="D87" s="87" t="s">
        <v>352</v>
      </c>
      <c r="E87" s="85" t="str">
        <f t="shared" si="2"/>
        <v>IX</v>
      </c>
      <c r="F87" s="84">
        <v>71700.0</v>
      </c>
    </row>
    <row r="88">
      <c r="A88" s="85" t="s">
        <v>353</v>
      </c>
      <c r="B88" s="85" t="s">
        <v>329</v>
      </c>
      <c r="C88" s="88" t="s">
        <v>337</v>
      </c>
      <c r="D88" s="88" t="s">
        <v>354</v>
      </c>
      <c r="E88" s="85" t="str">
        <f t="shared" si="2"/>
        <v>GP</v>
      </c>
      <c r="F88" s="84">
        <v>26800.0</v>
      </c>
    </row>
    <row r="89">
      <c r="A89" s="82" t="s">
        <v>355</v>
      </c>
      <c r="B89" s="85" t="s">
        <v>329</v>
      </c>
      <c r="C89" s="88" t="s">
        <v>337</v>
      </c>
      <c r="D89" s="90" t="s">
        <v>356</v>
      </c>
      <c r="E89" s="85" t="str">
        <f t="shared" si="2"/>
        <v>GP</v>
      </c>
      <c r="F89" s="84">
        <v>26800.0</v>
      </c>
    </row>
    <row r="90">
      <c r="A90" s="85" t="s">
        <v>357</v>
      </c>
      <c r="B90" s="85" t="s">
        <v>329</v>
      </c>
      <c r="C90" s="87" t="s">
        <v>334</v>
      </c>
      <c r="D90" s="87" t="s">
        <v>358</v>
      </c>
      <c r="E90" s="85" t="str">
        <f t="shared" si="2"/>
        <v>IX</v>
      </c>
      <c r="F90" s="84">
        <v>71700.0</v>
      </c>
    </row>
    <row r="91">
      <c r="A91" s="85" t="s">
        <v>359</v>
      </c>
      <c r="B91" s="85" t="s">
        <v>329</v>
      </c>
      <c r="C91" s="88" t="s">
        <v>337</v>
      </c>
      <c r="D91" s="88" t="s">
        <v>360</v>
      </c>
      <c r="E91" s="85" t="str">
        <f t="shared" si="2"/>
        <v>GP</v>
      </c>
      <c r="F91" s="84">
        <v>26800.0</v>
      </c>
    </row>
    <row r="92">
      <c r="A92" s="94" t="s">
        <v>361</v>
      </c>
      <c r="B92" s="85" t="s">
        <v>329</v>
      </c>
      <c r="C92" s="88" t="s">
        <v>337</v>
      </c>
      <c r="D92" s="90" t="s">
        <v>362</v>
      </c>
      <c r="E92" s="85" t="str">
        <f t="shared" si="2"/>
        <v>GP</v>
      </c>
      <c r="F92" s="84">
        <v>26800.0</v>
      </c>
    </row>
    <row r="93">
      <c r="A93" s="85" t="s">
        <v>363</v>
      </c>
      <c r="B93" s="85" t="s">
        <v>329</v>
      </c>
      <c r="C93" s="87" t="s">
        <v>334</v>
      </c>
      <c r="D93" s="91" t="s">
        <v>45</v>
      </c>
      <c r="E93" s="85" t="str">
        <f t="shared" si="2"/>
        <v>IX</v>
      </c>
      <c r="F93" s="84">
        <v>71700.0</v>
      </c>
    </row>
    <row r="94">
      <c r="A94" s="85" t="s">
        <v>364</v>
      </c>
      <c r="B94" s="85" t="s">
        <v>329</v>
      </c>
      <c r="C94" s="88" t="s">
        <v>334</v>
      </c>
      <c r="D94" s="90" t="s">
        <v>44</v>
      </c>
      <c r="E94" s="85" t="str">
        <f t="shared" si="2"/>
        <v>IX</v>
      </c>
      <c r="F94" s="84">
        <v>71700.0</v>
      </c>
    </row>
    <row r="95">
      <c r="A95" s="89" t="s">
        <v>365</v>
      </c>
      <c r="B95" s="89" t="s">
        <v>72</v>
      </c>
      <c r="C95" s="91" t="s">
        <v>186</v>
      </c>
      <c r="D95" s="91" t="s">
        <v>366</v>
      </c>
      <c r="E95" s="85" t="str">
        <f t="shared" si="2"/>
        <v>Ni</v>
      </c>
      <c r="F95" s="6">
        <v>34600.0</v>
      </c>
    </row>
    <row r="96">
      <c r="A96" s="85" t="s">
        <v>367</v>
      </c>
      <c r="B96" s="85" t="s">
        <v>329</v>
      </c>
      <c r="C96" s="87" t="s">
        <v>334</v>
      </c>
      <c r="D96" s="91" t="s">
        <v>43</v>
      </c>
      <c r="E96" s="85" t="str">
        <f t="shared" si="2"/>
        <v>IX</v>
      </c>
      <c r="F96" s="84">
        <v>71700.0</v>
      </c>
    </row>
    <row r="97">
      <c r="A97" s="85" t="s">
        <v>368</v>
      </c>
      <c r="B97" s="85" t="s">
        <v>329</v>
      </c>
      <c r="C97" s="88" t="s">
        <v>334</v>
      </c>
      <c r="D97" s="90" t="s">
        <v>42</v>
      </c>
      <c r="E97" s="85" t="str">
        <f t="shared" si="2"/>
        <v>IX</v>
      </c>
      <c r="F97" s="84">
        <v>71700.0</v>
      </c>
    </row>
    <row r="98">
      <c r="A98" s="82" t="s">
        <v>369</v>
      </c>
      <c r="B98" s="85" t="s">
        <v>329</v>
      </c>
      <c r="C98" s="87" t="s">
        <v>337</v>
      </c>
      <c r="D98" s="87" t="s">
        <v>370</v>
      </c>
      <c r="E98" s="85" t="str">
        <f t="shared" si="2"/>
        <v>GP</v>
      </c>
      <c r="F98" s="1">
        <v>26800.0</v>
      </c>
    </row>
    <row r="99">
      <c r="A99" s="82" t="s">
        <v>371</v>
      </c>
      <c r="B99" s="85" t="s">
        <v>329</v>
      </c>
      <c r="C99" s="87" t="s">
        <v>337</v>
      </c>
      <c r="D99" s="91" t="s">
        <v>372</v>
      </c>
      <c r="E99" s="85" t="str">
        <f t="shared" si="2"/>
        <v>GP</v>
      </c>
      <c r="F99" s="1">
        <v>26800.0</v>
      </c>
    </row>
    <row r="100">
      <c r="A100" s="85" t="s">
        <v>373</v>
      </c>
      <c r="B100" s="85" t="s">
        <v>329</v>
      </c>
      <c r="C100" s="88" t="s">
        <v>334</v>
      </c>
      <c r="D100" s="88" t="s">
        <v>374</v>
      </c>
      <c r="E100" s="85" t="str">
        <f t="shared" si="2"/>
        <v>IX</v>
      </c>
      <c r="F100" s="84">
        <v>71700.0</v>
      </c>
    </row>
    <row r="101">
      <c r="A101" s="85" t="s">
        <v>375</v>
      </c>
      <c r="B101" s="85" t="s">
        <v>329</v>
      </c>
      <c r="C101" s="87" t="s">
        <v>337</v>
      </c>
      <c r="D101" s="87" t="s">
        <v>376</v>
      </c>
      <c r="E101" s="85" t="str">
        <f t="shared" si="2"/>
        <v>GP</v>
      </c>
      <c r="F101" s="84">
        <v>26800.0</v>
      </c>
    </row>
    <row r="102">
      <c r="A102" s="89" t="s">
        <v>377</v>
      </c>
      <c r="B102" s="85" t="s">
        <v>329</v>
      </c>
      <c r="C102" s="87" t="s">
        <v>337</v>
      </c>
      <c r="D102" s="91" t="s">
        <v>378</v>
      </c>
      <c r="E102" s="85" t="str">
        <f t="shared" si="2"/>
        <v>GP</v>
      </c>
      <c r="F102" s="84">
        <v>26800.0</v>
      </c>
    </row>
    <row r="103">
      <c r="A103" s="85" t="s">
        <v>379</v>
      </c>
      <c r="B103" s="85" t="s">
        <v>329</v>
      </c>
      <c r="C103" s="88" t="s">
        <v>334</v>
      </c>
      <c r="D103" s="90" t="s">
        <v>41</v>
      </c>
      <c r="E103" s="85" t="str">
        <f t="shared" si="2"/>
        <v>IX</v>
      </c>
      <c r="F103" s="84">
        <v>71700.0</v>
      </c>
    </row>
    <row r="104">
      <c r="A104" s="82" t="s">
        <v>380</v>
      </c>
      <c r="B104" s="85" t="s">
        <v>329</v>
      </c>
      <c r="C104" s="87" t="s">
        <v>337</v>
      </c>
      <c r="D104" s="87" t="s">
        <v>381</v>
      </c>
      <c r="E104" s="85" t="str">
        <f t="shared" si="2"/>
        <v>GP</v>
      </c>
      <c r="F104" s="1">
        <v>26800.0</v>
      </c>
    </row>
    <row r="105">
      <c r="A105" s="82" t="s">
        <v>382</v>
      </c>
      <c r="B105" s="85" t="s">
        <v>329</v>
      </c>
      <c r="C105" s="87" t="s">
        <v>337</v>
      </c>
      <c r="D105" s="91" t="s">
        <v>383</v>
      </c>
      <c r="E105" s="85" t="str">
        <f t="shared" si="2"/>
        <v>GP</v>
      </c>
      <c r="F105" s="1">
        <v>26800.0</v>
      </c>
    </row>
    <row r="106">
      <c r="A106" s="85" t="s">
        <v>384</v>
      </c>
      <c r="B106" s="85" t="s">
        <v>329</v>
      </c>
      <c r="C106" s="88" t="s">
        <v>334</v>
      </c>
      <c r="D106" s="90" t="s">
        <v>40</v>
      </c>
      <c r="E106" s="85" t="str">
        <f t="shared" si="2"/>
        <v>IX</v>
      </c>
      <c r="F106" s="84">
        <v>71700.0</v>
      </c>
    </row>
    <row r="107">
      <c r="A107" s="85" t="s">
        <v>385</v>
      </c>
      <c r="B107" s="85" t="s">
        <v>329</v>
      </c>
      <c r="C107" s="87" t="s">
        <v>181</v>
      </c>
      <c r="D107" s="87" t="s">
        <v>386</v>
      </c>
      <c r="E107" s="85" t="str">
        <f t="shared" si="2"/>
        <v>IX</v>
      </c>
      <c r="F107" s="1">
        <v>149000.0</v>
      </c>
    </row>
    <row r="108">
      <c r="A108" s="82" t="s">
        <v>387</v>
      </c>
      <c r="B108" s="85" t="s">
        <v>329</v>
      </c>
      <c r="C108" s="88" t="s">
        <v>337</v>
      </c>
      <c r="D108" s="88" t="s">
        <v>388</v>
      </c>
      <c r="E108" s="85" t="str">
        <f t="shared" si="2"/>
        <v>GP</v>
      </c>
      <c r="F108" s="84">
        <v>26800.0</v>
      </c>
    </row>
    <row r="109">
      <c r="A109" s="82" t="s">
        <v>389</v>
      </c>
      <c r="B109" s="85" t="s">
        <v>329</v>
      </c>
      <c r="C109" s="88" t="s">
        <v>337</v>
      </c>
      <c r="D109" s="90" t="s">
        <v>390</v>
      </c>
      <c r="E109" s="85" t="str">
        <f t="shared" si="2"/>
        <v>GP</v>
      </c>
      <c r="F109" s="84">
        <v>26800.0</v>
      </c>
    </row>
    <row r="110">
      <c r="A110" s="85" t="s">
        <v>391</v>
      </c>
      <c r="B110" s="85" t="s">
        <v>329</v>
      </c>
      <c r="C110" s="87" t="s">
        <v>334</v>
      </c>
      <c r="D110" s="87" t="s">
        <v>392</v>
      </c>
      <c r="E110" s="85" t="str">
        <f t="shared" si="2"/>
        <v>IX</v>
      </c>
      <c r="F110" s="84">
        <v>71700.0</v>
      </c>
    </row>
    <row r="111">
      <c r="A111" s="82" t="s">
        <v>393</v>
      </c>
      <c r="B111" s="85" t="s">
        <v>329</v>
      </c>
      <c r="C111" s="87" t="s">
        <v>334</v>
      </c>
      <c r="D111" s="91" t="s">
        <v>394</v>
      </c>
      <c r="E111" s="85" t="str">
        <f t="shared" si="2"/>
        <v>IX</v>
      </c>
      <c r="F111" s="84">
        <v>71700.0</v>
      </c>
    </row>
    <row r="112">
      <c r="A112" s="85" t="s">
        <v>395</v>
      </c>
      <c r="B112" s="85" t="s">
        <v>329</v>
      </c>
      <c r="C112" s="88" t="s">
        <v>181</v>
      </c>
      <c r="D112" s="88" t="s">
        <v>396</v>
      </c>
      <c r="E112" s="85" t="str">
        <f t="shared" si="2"/>
        <v>IX</v>
      </c>
      <c r="F112" s="1">
        <v>149000.0</v>
      </c>
    </row>
    <row r="113">
      <c r="A113" s="85" t="s">
        <v>397</v>
      </c>
      <c r="B113" s="85" t="s">
        <v>329</v>
      </c>
      <c r="C113" s="87" t="s">
        <v>337</v>
      </c>
      <c r="D113" s="87" t="s">
        <v>398</v>
      </c>
      <c r="E113" s="85" t="str">
        <f t="shared" si="2"/>
        <v>GP</v>
      </c>
      <c r="F113" s="84">
        <v>26800.0</v>
      </c>
    </row>
    <row r="114">
      <c r="A114" s="85" t="s">
        <v>399</v>
      </c>
      <c r="B114" s="85" t="s">
        <v>329</v>
      </c>
      <c r="C114" s="88" t="s">
        <v>334</v>
      </c>
      <c r="D114" s="88" t="s">
        <v>400</v>
      </c>
      <c r="E114" s="85" t="str">
        <f t="shared" si="2"/>
        <v>IX</v>
      </c>
      <c r="F114" s="84">
        <v>71700.0</v>
      </c>
    </row>
    <row r="115">
      <c r="A115" s="89" t="s">
        <v>401</v>
      </c>
      <c r="B115" s="85" t="s">
        <v>329</v>
      </c>
      <c r="C115" s="88" t="s">
        <v>334</v>
      </c>
      <c r="D115" s="90" t="s">
        <v>402</v>
      </c>
      <c r="E115" s="85" t="str">
        <f t="shared" si="2"/>
        <v>IX</v>
      </c>
      <c r="F115" s="84">
        <v>71700.0</v>
      </c>
    </row>
    <row r="116">
      <c r="A116" s="85" t="s">
        <v>403</v>
      </c>
      <c r="B116" s="85" t="s">
        <v>329</v>
      </c>
      <c r="C116" s="87" t="s">
        <v>337</v>
      </c>
      <c r="D116" s="87" t="s">
        <v>404</v>
      </c>
      <c r="E116" s="85" t="str">
        <f t="shared" si="2"/>
        <v>GP</v>
      </c>
      <c r="F116" s="84">
        <v>26800.0</v>
      </c>
    </row>
    <row r="117">
      <c r="A117" s="85" t="s">
        <v>405</v>
      </c>
      <c r="B117" s="85" t="s">
        <v>329</v>
      </c>
      <c r="C117" s="88" t="s">
        <v>334</v>
      </c>
      <c r="D117" s="88" t="s">
        <v>406</v>
      </c>
      <c r="E117" s="85" t="str">
        <f t="shared" si="2"/>
        <v>IX</v>
      </c>
      <c r="F117" s="84">
        <v>71700.0</v>
      </c>
    </row>
    <row r="118">
      <c r="A118" s="89" t="s">
        <v>407</v>
      </c>
      <c r="B118" s="85" t="s">
        <v>329</v>
      </c>
      <c r="C118" s="88" t="s">
        <v>334</v>
      </c>
      <c r="D118" s="90" t="s">
        <v>408</v>
      </c>
      <c r="E118" s="85" t="str">
        <f t="shared" si="2"/>
        <v>IX</v>
      </c>
      <c r="F118" s="84">
        <v>71700.0</v>
      </c>
    </row>
    <row r="119">
      <c r="A119" s="82" t="s">
        <v>409</v>
      </c>
      <c r="B119" s="85" t="s">
        <v>329</v>
      </c>
      <c r="C119" s="87" t="s">
        <v>337</v>
      </c>
      <c r="D119" s="87" t="s">
        <v>410</v>
      </c>
      <c r="E119" s="85" t="str">
        <f t="shared" si="2"/>
        <v>GP</v>
      </c>
      <c r="F119" s="84">
        <v>26800.0</v>
      </c>
    </row>
    <row r="120">
      <c r="A120" s="82" t="s">
        <v>411</v>
      </c>
      <c r="B120" s="85" t="s">
        <v>329</v>
      </c>
      <c r="C120" s="87" t="s">
        <v>337</v>
      </c>
      <c r="D120" s="91" t="s">
        <v>412</v>
      </c>
      <c r="E120" s="85" t="str">
        <f t="shared" si="2"/>
        <v>GP</v>
      </c>
      <c r="F120" s="84">
        <v>26800.0</v>
      </c>
    </row>
    <row r="121">
      <c r="A121" s="85" t="s">
        <v>413</v>
      </c>
      <c r="B121" s="85" t="s">
        <v>329</v>
      </c>
      <c r="C121" s="88" t="s">
        <v>334</v>
      </c>
      <c r="D121" s="90" t="s">
        <v>39</v>
      </c>
      <c r="E121" s="85" t="str">
        <f t="shared" si="2"/>
        <v>IX</v>
      </c>
      <c r="F121" s="84">
        <v>71700.0</v>
      </c>
    </row>
    <row r="122">
      <c r="A122" s="85" t="s">
        <v>414</v>
      </c>
      <c r="B122" s="85" t="s">
        <v>329</v>
      </c>
      <c r="C122" s="87" t="s">
        <v>181</v>
      </c>
      <c r="D122" s="87" t="s">
        <v>415</v>
      </c>
      <c r="E122" s="85" t="str">
        <f t="shared" si="2"/>
        <v>IX</v>
      </c>
      <c r="F122" s="1">
        <v>149000.0</v>
      </c>
    </row>
    <row r="123">
      <c r="A123" s="82" t="s">
        <v>416</v>
      </c>
      <c r="B123" s="85" t="s">
        <v>329</v>
      </c>
      <c r="C123" s="88" t="s">
        <v>337</v>
      </c>
      <c r="D123" s="88" t="s">
        <v>417</v>
      </c>
      <c r="E123" s="85" t="str">
        <f t="shared" si="2"/>
        <v>GP</v>
      </c>
      <c r="F123" s="84">
        <v>26800.0</v>
      </c>
    </row>
    <row r="124">
      <c r="A124" s="82" t="s">
        <v>418</v>
      </c>
      <c r="B124" s="85" t="s">
        <v>329</v>
      </c>
      <c r="C124" s="88" t="s">
        <v>337</v>
      </c>
      <c r="D124" s="90" t="s">
        <v>419</v>
      </c>
      <c r="E124" s="85" t="str">
        <f t="shared" si="2"/>
        <v>GP</v>
      </c>
      <c r="F124" s="84">
        <v>26800.0</v>
      </c>
    </row>
    <row r="125">
      <c r="A125" s="85" t="s">
        <v>420</v>
      </c>
      <c r="B125" s="85" t="s">
        <v>329</v>
      </c>
      <c r="C125" s="87" t="s">
        <v>334</v>
      </c>
      <c r="D125" s="87" t="s">
        <v>38</v>
      </c>
      <c r="E125" s="85" t="str">
        <f t="shared" si="2"/>
        <v>IX</v>
      </c>
      <c r="F125" s="84">
        <v>71700.0</v>
      </c>
    </row>
    <row r="126">
      <c r="A126" s="85" t="s">
        <v>421</v>
      </c>
      <c r="B126" s="85" t="s">
        <v>329</v>
      </c>
      <c r="C126" s="88" t="s">
        <v>334</v>
      </c>
      <c r="D126" s="90" t="s">
        <v>37</v>
      </c>
      <c r="E126" s="85" t="str">
        <f t="shared" si="2"/>
        <v>IX</v>
      </c>
      <c r="F126" s="84">
        <v>71700.0</v>
      </c>
    </row>
    <row r="127">
      <c r="A127" s="85" t="s">
        <v>422</v>
      </c>
      <c r="B127" s="85" t="s">
        <v>329</v>
      </c>
      <c r="C127" s="87" t="s">
        <v>334</v>
      </c>
      <c r="D127" s="87" t="s">
        <v>423</v>
      </c>
      <c r="E127" s="85" t="str">
        <f t="shared" si="2"/>
        <v>IX</v>
      </c>
      <c r="F127" s="84">
        <v>71700.0</v>
      </c>
    </row>
    <row r="128">
      <c r="A128" s="85" t="s">
        <v>424</v>
      </c>
      <c r="B128" s="85" t="s">
        <v>329</v>
      </c>
      <c r="C128" s="88" t="s">
        <v>181</v>
      </c>
      <c r="D128" s="88" t="s">
        <v>425</v>
      </c>
      <c r="E128" s="85" t="str">
        <f t="shared" si="2"/>
        <v>IX</v>
      </c>
      <c r="F128" s="1">
        <v>149000.0</v>
      </c>
    </row>
    <row r="129">
      <c r="A129" s="85" t="s">
        <v>426</v>
      </c>
      <c r="B129" s="85" t="s">
        <v>329</v>
      </c>
      <c r="C129" s="87" t="s">
        <v>334</v>
      </c>
      <c r="D129" s="87" t="s">
        <v>427</v>
      </c>
      <c r="E129" s="85" t="str">
        <f t="shared" si="2"/>
        <v>IX</v>
      </c>
      <c r="F129" s="84">
        <v>71700.0</v>
      </c>
    </row>
    <row r="130">
      <c r="A130" s="85" t="s">
        <v>428</v>
      </c>
      <c r="B130" s="85" t="s">
        <v>329</v>
      </c>
      <c r="C130" s="88" t="s">
        <v>181</v>
      </c>
      <c r="D130" s="88" t="s">
        <v>429</v>
      </c>
      <c r="E130" s="85" t="str">
        <f t="shared" si="2"/>
        <v>IX</v>
      </c>
      <c r="F130" s="1">
        <v>150700.0</v>
      </c>
    </row>
    <row r="131">
      <c r="A131" s="85" t="s">
        <v>430</v>
      </c>
      <c r="B131" s="85" t="s">
        <v>329</v>
      </c>
      <c r="C131" s="87" t="s">
        <v>334</v>
      </c>
      <c r="D131" s="87" t="s">
        <v>431</v>
      </c>
      <c r="E131" s="85" t="str">
        <f t="shared" si="2"/>
        <v>IX</v>
      </c>
      <c r="F131" s="84">
        <v>71700.0</v>
      </c>
    </row>
    <row r="132">
      <c r="A132" s="85" t="s">
        <v>432</v>
      </c>
      <c r="B132" s="85" t="s">
        <v>329</v>
      </c>
      <c r="C132" s="88" t="s">
        <v>334</v>
      </c>
      <c r="D132" s="88" t="s">
        <v>433</v>
      </c>
      <c r="E132" s="85" t="str">
        <f t="shared" si="2"/>
        <v>IX</v>
      </c>
      <c r="F132" s="84">
        <v>71700.0</v>
      </c>
    </row>
    <row r="133">
      <c r="A133" s="85" t="s">
        <v>434</v>
      </c>
      <c r="B133" s="85" t="s">
        <v>329</v>
      </c>
      <c r="C133" s="87" t="s">
        <v>337</v>
      </c>
      <c r="D133" s="87" t="s">
        <v>435</v>
      </c>
      <c r="E133" s="85" t="str">
        <f t="shared" si="2"/>
        <v>GP</v>
      </c>
      <c r="F133" s="84">
        <v>26800.0</v>
      </c>
    </row>
    <row r="134">
      <c r="A134" s="85" t="s">
        <v>436</v>
      </c>
      <c r="B134" s="85" t="s">
        <v>329</v>
      </c>
      <c r="C134" s="88" t="s">
        <v>334</v>
      </c>
      <c r="D134" s="88" t="s">
        <v>437</v>
      </c>
      <c r="E134" s="85" t="str">
        <f t="shared" si="2"/>
        <v>IX</v>
      </c>
      <c r="F134" s="84">
        <v>71700.0</v>
      </c>
    </row>
    <row r="135">
      <c r="A135" s="83" t="s">
        <v>436</v>
      </c>
      <c r="B135" s="85" t="s">
        <v>329</v>
      </c>
      <c r="C135" s="88" t="s">
        <v>334</v>
      </c>
      <c r="D135" s="90" t="s">
        <v>438</v>
      </c>
      <c r="E135" s="85" t="str">
        <f t="shared" si="2"/>
        <v>IX</v>
      </c>
      <c r="F135" s="84">
        <v>71700.0</v>
      </c>
    </row>
    <row r="136">
      <c r="A136" s="85" t="s">
        <v>439</v>
      </c>
      <c r="B136" s="85" t="s">
        <v>329</v>
      </c>
      <c r="C136" s="87" t="s">
        <v>337</v>
      </c>
      <c r="D136" s="91" t="s">
        <v>46</v>
      </c>
      <c r="E136" s="85" t="str">
        <f t="shared" si="2"/>
        <v>GP</v>
      </c>
      <c r="F136" s="84">
        <v>26800.0</v>
      </c>
    </row>
    <row r="137">
      <c r="A137" s="85" t="s">
        <v>440</v>
      </c>
      <c r="B137" s="85" t="s">
        <v>329</v>
      </c>
      <c r="C137" s="88" t="s">
        <v>334</v>
      </c>
      <c r="D137" s="88" t="s">
        <v>441</v>
      </c>
      <c r="E137" s="85" t="str">
        <f t="shared" si="2"/>
        <v>IX</v>
      </c>
      <c r="F137" s="84">
        <v>71700.0</v>
      </c>
    </row>
    <row r="138">
      <c r="A138" s="83" t="s">
        <v>442</v>
      </c>
      <c r="B138" s="83" t="s">
        <v>329</v>
      </c>
      <c r="C138" s="83" t="s">
        <v>181</v>
      </c>
      <c r="D138" s="83" t="s">
        <v>443</v>
      </c>
      <c r="E138" s="83" t="str">
        <f t="shared" si="2"/>
        <v>IX</v>
      </c>
      <c r="F138" s="84">
        <v>150700.0</v>
      </c>
    </row>
    <row r="139">
      <c r="A139" s="85" t="s">
        <v>444</v>
      </c>
      <c r="B139" s="85" t="s">
        <v>329</v>
      </c>
      <c r="C139" s="88" t="s">
        <v>181</v>
      </c>
      <c r="D139" s="88" t="s">
        <v>445</v>
      </c>
      <c r="E139" s="85" t="str">
        <f t="shared" si="2"/>
        <v>IX</v>
      </c>
      <c r="F139" s="84">
        <v>150700.0</v>
      </c>
    </row>
    <row r="140">
      <c r="A140" s="85" t="s">
        <v>446</v>
      </c>
      <c r="B140" s="85" t="s">
        <v>329</v>
      </c>
      <c r="C140" s="87" t="s">
        <v>181</v>
      </c>
      <c r="D140" s="87" t="s">
        <v>447</v>
      </c>
      <c r="E140" s="85" t="str">
        <f t="shared" si="2"/>
        <v>IX</v>
      </c>
      <c r="F140" s="84">
        <v>150700.0</v>
      </c>
    </row>
    <row r="141">
      <c r="A141" s="83" t="s">
        <v>448</v>
      </c>
      <c r="B141" s="85" t="s">
        <v>329</v>
      </c>
      <c r="C141" s="88" t="s">
        <v>181</v>
      </c>
      <c r="D141" s="88" t="s">
        <v>449</v>
      </c>
      <c r="E141" s="85" t="str">
        <f t="shared" si="2"/>
        <v>IX</v>
      </c>
      <c r="F141" s="84">
        <v>183400.0</v>
      </c>
    </row>
    <row r="142">
      <c r="A142" s="85" t="s">
        <v>450</v>
      </c>
      <c r="B142" s="85" t="s">
        <v>329</v>
      </c>
      <c r="C142" s="87" t="s">
        <v>181</v>
      </c>
      <c r="D142" s="87" t="s">
        <v>451</v>
      </c>
      <c r="E142" s="85" t="str">
        <f t="shared" si="2"/>
        <v>IX</v>
      </c>
      <c r="F142" s="84">
        <v>189900.0</v>
      </c>
    </row>
    <row r="143">
      <c r="A143" s="85" t="s">
        <v>452</v>
      </c>
      <c r="B143" s="85" t="s">
        <v>329</v>
      </c>
      <c r="C143" s="88" t="s">
        <v>181</v>
      </c>
      <c r="D143" s="88" t="s">
        <v>453</v>
      </c>
      <c r="E143" s="85" t="str">
        <f t="shared" si="2"/>
        <v>IX</v>
      </c>
      <c r="F143" s="84">
        <v>189900.0</v>
      </c>
    </row>
    <row r="144">
      <c r="A144" s="85" t="s">
        <v>454</v>
      </c>
      <c r="B144" s="85" t="s">
        <v>329</v>
      </c>
      <c r="C144" s="87" t="s">
        <v>181</v>
      </c>
      <c r="D144" s="87" t="s">
        <v>455</v>
      </c>
      <c r="E144" s="85" t="str">
        <f t="shared" si="2"/>
        <v>IX</v>
      </c>
      <c r="F144" s="1">
        <v>178000.0</v>
      </c>
    </row>
    <row r="145">
      <c r="A145" s="82" t="s">
        <v>456</v>
      </c>
      <c r="B145" s="85" t="s">
        <v>329</v>
      </c>
      <c r="C145" s="87" t="s">
        <v>181</v>
      </c>
      <c r="D145" s="82" t="s">
        <v>80</v>
      </c>
      <c r="E145" s="85" t="str">
        <f t="shared" si="2"/>
        <v>IX</v>
      </c>
      <c r="F145" s="6">
        <v>189900.0</v>
      </c>
    </row>
    <row r="146">
      <c r="A146" s="82" t="s">
        <v>457</v>
      </c>
      <c r="B146" s="85" t="s">
        <v>329</v>
      </c>
      <c r="C146" s="87" t="s">
        <v>181</v>
      </c>
      <c r="D146" s="82" t="s">
        <v>81</v>
      </c>
      <c r="E146" s="85" t="str">
        <f t="shared" si="2"/>
        <v>IX</v>
      </c>
      <c r="F146" s="6">
        <v>189900.0</v>
      </c>
    </row>
    <row r="147">
      <c r="A147" s="83" t="s">
        <v>458</v>
      </c>
      <c r="B147" s="85" t="s">
        <v>329</v>
      </c>
      <c r="C147" s="88" t="s">
        <v>181</v>
      </c>
      <c r="D147" s="88" t="s">
        <v>459</v>
      </c>
      <c r="E147" s="85" t="str">
        <f t="shared" si="2"/>
        <v>IX</v>
      </c>
      <c r="F147" s="84">
        <v>179500.0</v>
      </c>
    </row>
    <row r="148">
      <c r="A148" s="85" t="s">
        <v>458</v>
      </c>
      <c r="B148" s="85" t="s">
        <v>329</v>
      </c>
      <c r="C148" s="87" t="s">
        <v>181</v>
      </c>
      <c r="D148" s="87" t="s">
        <v>460</v>
      </c>
      <c r="E148" s="85" t="str">
        <f t="shared" si="2"/>
        <v>IX</v>
      </c>
      <c r="F148" s="84">
        <v>179500.0</v>
      </c>
    </row>
    <row r="149">
      <c r="A149" s="85" t="s">
        <v>461</v>
      </c>
      <c r="B149" s="85" t="s">
        <v>329</v>
      </c>
      <c r="C149" s="88" t="s">
        <v>181</v>
      </c>
      <c r="D149" s="88" t="s">
        <v>462</v>
      </c>
      <c r="E149" s="85" t="str">
        <f t="shared" si="2"/>
        <v>IX</v>
      </c>
      <c r="F149" s="84">
        <v>189900.0</v>
      </c>
    </row>
    <row r="150">
      <c r="A150" s="85" t="s">
        <v>463</v>
      </c>
      <c r="B150" s="85" t="s">
        <v>329</v>
      </c>
      <c r="C150" s="87" t="s">
        <v>181</v>
      </c>
      <c r="D150" s="87" t="s">
        <v>464</v>
      </c>
      <c r="E150" s="85" t="str">
        <f t="shared" si="2"/>
        <v>IX</v>
      </c>
      <c r="F150" s="84">
        <v>179500.0</v>
      </c>
    </row>
    <row r="151">
      <c r="A151" s="85" t="s">
        <v>465</v>
      </c>
      <c r="B151" s="85" t="s">
        <v>329</v>
      </c>
      <c r="C151" s="88" t="s">
        <v>181</v>
      </c>
      <c r="D151" s="88" t="s">
        <v>466</v>
      </c>
      <c r="E151" s="85" t="str">
        <f t="shared" si="2"/>
        <v>IX</v>
      </c>
      <c r="F151" s="84">
        <v>150700.0</v>
      </c>
    </row>
    <row r="152">
      <c r="A152" s="85" t="s">
        <v>467</v>
      </c>
      <c r="B152" s="85" t="s">
        <v>329</v>
      </c>
      <c r="C152" s="87" t="s">
        <v>330</v>
      </c>
      <c r="D152" s="87" t="s">
        <v>468</v>
      </c>
      <c r="E152" s="85" t="str">
        <f t="shared" si="2"/>
        <v>IX</v>
      </c>
      <c r="F152" s="1">
        <v>539000.0</v>
      </c>
    </row>
    <row r="153">
      <c r="A153" s="85" t="s">
        <v>469</v>
      </c>
      <c r="B153" s="85" t="s">
        <v>329</v>
      </c>
      <c r="C153" s="88" t="s">
        <v>330</v>
      </c>
      <c r="D153" s="88" t="s">
        <v>470</v>
      </c>
      <c r="E153" s="85" t="str">
        <f t="shared" si="2"/>
        <v>IX</v>
      </c>
      <c r="F153" s="1">
        <v>390000.0</v>
      </c>
    </row>
    <row r="154">
      <c r="A154" s="85" t="s">
        <v>471</v>
      </c>
      <c r="B154" s="85" t="s">
        <v>329</v>
      </c>
      <c r="C154" s="87" t="s">
        <v>330</v>
      </c>
      <c r="D154" s="87" t="s">
        <v>472</v>
      </c>
      <c r="E154" s="85" t="str">
        <f t="shared" si="2"/>
        <v>IX</v>
      </c>
      <c r="F154" s="1">
        <v>390000.0</v>
      </c>
    </row>
    <row r="155">
      <c r="A155" s="85" t="s">
        <v>473</v>
      </c>
      <c r="B155" s="85" t="s">
        <v>329</v>
      </c>
      <c r="C155" s="88" t="s">
        <v>330</v>
      </c>
      <c r="D155" s="88" t="s">
        <v>474</v>
      </c>
      <c r="E155" s="85" t="str">
        <f t="shared" si="2"/>
        <v>IX</v>
      </c>
      <c r="F155" s="1">
        <v>390000.0</v>
      </c>
    </row>
    <row r="156">
      <c r="A156" s="85" t="s">
        <v>475</v>
      </c>
      <c r="B156" s="85" t="s">
        <v>329</v>
      </c>
      <c r="C156" s="87" t="s">
        <v>330</v>
      </c>
      <c r="D156" s="87" t="s">
        <v>476</v>
      </c>
      <c r="E156" s="85" t="str">
        <f t="shared" si="2"/>
        <v>IX</v>
      </c>
      <c r="F156" s="1">
        <v>403000.0</v>
      </c>
    </row>
    <row r="157">
      <c r="A157" s="85" t="s">
        <v>477</v>
      </c>
      <c r="B157" s="85" t="s">
        <v>329</v>
      </c>
      <c r="C157" s="88" t="s">
        <v>330</v>
      </c>
      <c r="D157" s="88" t="s">
        <v>478</v>
      </c>
      <c r="E157" s="85" t="str">
        <f t="shared" si="2"/>
        <v>IX</v>
      </c>
      <c r="F157" s="1">
        <v>583000.0</v>
      </c>
    </row>
    <row r="158">
      <c r="A158" s="85" t="s">
        <v>479</v>
      </c>
      <c r="B158" s="85" t="s">
        <v>329</v>
      </c>
      <c r="C158" s="87" t="s">
        <v>330</v>
      </c>
      <c r="D158" s="87" t="s">
        <v>480</v>
      </c>
      <c r="E158" s="85" t="str">
        <f t="shared" si="2"/>
        <v>IX</v>
      </c>
      <c r="F158" s="1">
        <v>372000.0</v>
      </c>
    </row>
    <row r="159">
      <c r="A159" s="85" t="s">
        <v>481</v>
      </c>
      <c r="B159" s="85" t="s">
        <v>329</v>
      </c>
      <c r="C159" s="88" t="s">
        <v>330</v>
      </c>
      <c r="D159" s="88" t="s">
        <v>482</v>
      </c>
      <c r="E159" s="85" t="str">
        <f t="shared" si="2"/>
        <v>IX</v>
      </c>
      <c r="F159" s="1">
        <v>372000.0</v>
      </c>
    </row>
    <row r="160">
      <c r="A160" s="85" t="s">
        <v>483</v>
      </c>
      <c r="B160" s="85" t="s">
        <v>329</v>
      </c>
      <c r="C160" s="87" t="s">
        <v>181</v>
      </c>
      <c r="D160" s="87" t="s">
        <v>484</v>
      </c>
      <c r="E160" s="85" t="str">
        <f t="shared" si="2"/>
        <v>IX</v>
      </c>
      <c r="F160" s="1">
        <v>150700.0</v>
      </c>
    </row>
    <row r="161">
      <c r="A161" s="85" t="s">
        <v>485</v>
      </c>
      <c r="B161" s="85" t="s">
        <v>329</v>
      </c>
      <c r="C161" s="88" t="s">
        <v>181</v>
      </c>
      <c r="D161" s="88" t="s">
        <v>486</v>
      </c>
      <c r="E161" s="85" t="str">
        <f t="shared" si="2"/>
        <v>IX</v>
      </c>
      <c r="F161" s="84">
        <v>161200.0</v>
      </c>
    </row>
    <row r="162">
      <c r="A162" s="85" t="s">
        <v>487</v>
      </c>
      <c r="B162" s="85" t="s">
        <v>329</v>
      </c>
      <c r="C162" s="87" t="s">
        <v>181</v>
      </c>
      <c r="D162" s="87" t="s">
        <v>488</v>
      </c>
      <c r="E162" s="85" t="str">
        <f t="shared" si="2"/>
        <v>IX</v>
      </c>
      <c r="F162" s="84">
        <v>150700.0</v>
      </c>
    </row>
    <row r="163">
      <c r="A163" s="85" t="s">
        <v>489</v>
      </c>
      <c r="B163" s="85" t="s">
        <v>329</v>
      </c>
      <c r="C163" s="88" t="s">
        <v>181</v>
      </c>
      <c r="D163" s="88" t="s">
        <v>490</v>
      </c>
      <c r="E163" s="85" t="str">
        <f t="shared" si="2"/>
        <v>IX</v>
      </c>
      <c r="F163" s="84">
        <v>150700.0</v>
      </c>
    </row>
    <row r="164">
      <c r="A164" s="85" t="s">
        <v>491</v>
      </c>
      <c r="B164" s="85" t="s">
        <v>329</v>
      </c>
      <c r="C164" s="87" t="s">
        <v>181</v>
      </c>
      <c r="D164" s="87" t="s">
        <v>492</v>
      </c>
      <c r="E164" s="85" t="str">
        <f t="shared" si="2"/>
        <v>IX</v>
      </c>
      <c r="F164" s="84">
        <v>161200.0</v>
      </c>
    </row>
    <row r="165">
      <c r="A165" s="89" t="s">
        <v>493</v>
      </c>
      <c r="B165" s="85" t="s">
        <v>329</v>
      </c>
      <c r="C165" s="87" t="s">
        <v>181</v>
      </c>
      <c r="D165" s="91" t="s">
        <v>494</v>
      </c>
      <c r="E165" s="85" t="str">
        <f t="shared" si="2"/>
        <v>IX</v>
      </c>
      <c r="F165" s="84">
        <v>161200.0</v>
      </c>
    </row>
    <row r="166">
      <c r="A166" s="85" t="s">
        <v>495</v>
      </c>
      <c r="B166" s="85" t="s">
        <v>329</v>
      </c>
      <c r="C166" s="88" t="s">
        <v>181</v>
      </c>
      <c r="D166" s="88" t="s">
        <v>496</v>
      </c>
      <c r="E166" s="85" t="str">
        <f t="shared" si="2"/>
        <v>IX</v>
      </c>
      <c r="F166" s="84">
        <v>150700.0</v>
      </c>
    </row>
    <row r="167">
      <c r="A167" s="85" t="s">
        <v>497</v>
      </c>
      <c r="B167" s="85" t="s">
        <v>329</v>
      </c>
      <c r="C167" s="87" t="s">
        <v>181</v>
      </c>
      <c r="D167" s="87" t="s">
        <v>498</v>
      </c>
      <c r="E167" s="85" t="str">
        <f t="shared" si="2"/>
        <v>IX</v>
      </c>
      <c r="F167" s="84">
        <v>150700.0</v>
      </c>
    </row>
    <row r="168">
      <c r="A168" s="85" t="s">
        <v>499</v>
      </c>
      <c r="B168" s="85" t="s">
        <v>329</v>
      </c>
      <c r="C168" s="88" t="s">
        <v>330</v>
      </c>
      <c r="D168" s="88" t="s">
        <v>500</v>
      </c>
      <c r="E168" s="85" t="str">
        <f t="shared" si="2"/>
        <v>IX</v>
      </c>
      <c r="F168" s="1">
        <v>583000.0</v>
      </c>
    </row>
    <row r="169">
      <c r="A169" s="85" t="s">
        <v>501</v>
      </c>
      <c r="B169" s="85" t="s">
        <v>329</v>
      </c>
      <c r="C169" s="87" t="s">
        <v>330</v>
      </c>
      <c r="D169" s="87" t="s">
        <v>502</v>
      </c>
      <c r="E169" s="85" t="str">
        <f t="shared" si="2"/>
        <v>IX</v>
      </c>
      <c r="F169" s="1">
        <v>285000.0</v>
      </c>
    </row>
    <row r="170">
      <c r="A170" s="85" t="s">
        <v>503</v>
      </c>
      <c r="B170" s="85" t="s">
        <v>504</v>
      </c>
      <c r="C170" s="88" t="s">
        <v>186</v>
      </c>
      <c r="D170" s="88" t="s">
        <v>505</v>
      </c>
      <c r="E170" s="85" t="str">
        <f t="shared" si="2"/>
        <v>Ni</v>
      </c>
      <c r="F170" s="84">
        <v>15900.0</v>
      </c>
    </row>
    <row r="171">
      <c r="A171" s="85" t="s">
        <v>506</v>
      </c>
      <c r="B171" s="85" t="s">
        <v>504</v>
      </c>
      <c r="C171" s="87" t="s">
        <v>186</v>
      </c>
      <c r="D171" s="87" t="s">
        <v>507</v>
      </c>
      <c r="E171" s="85" t="str">
        <f t="shared" si="2"/>
        <v>Ni</v>
      </c>
      <c r="F171" s="84">
        <v>15900.0</v>
      </c>
    </row>
    <row r="172">
      <c r="A172" s="85" t="s">
        <v>508</v>
      </c>
      <c r="B172" s="85" t="s">
        <v>504</v>
      </c>
      <c r="C172" s="88" t="s">
        <v>186</v>
      </c>
      <c r="D172" s="88" t="s">
        <v>509</v>
      </c>
      <c r="E172" s="85" t="str">
        <f t="shared" si="2"/>
        <v>Ni</v>
      </c>
      <c r="F172" s="84">
        <v>43750.0</v>
      </c>
    </row>
    <row r="173">
      <c r="A173" s="89" t="s">
        <v>510</v>
      </c>
      <c r="B173" s="85" t="s">
        <v>504</v>
      </c>
      <c r="C173" s="88" t="s">
        <v>186</v>
      </c>
      <c r="D173" s="90" t="s">
        <v>511</v>
      </c>
      <c r="E173" s="85" t="str">
        <f t="shared" si="2"/>
        <v>Ni</v>
      </c>
      <c r="F173" s="84">
        <v>43750.0</v>
      </c>
    </row>
    <row r="174">
      <c r="A174" s="85" t="s">
        <v>512</v>
      </c>
      <c r="B174" s="85" t="s">
        <v>504</v>
      </c>
      <c r="C174" s="87" t="s">
        <v>186</v>
      </c>
      <c r="D174" s="87" t="s">
        <v>513</v>
      </c>
      <c r="E174" s="85" t="str">
        <f t="shared" si="2"/>
        <v>Ni</v>
      </c>
      <c r="F174" s="84">
        <v>15900.0</v>
      </c>
    </row>
    <row r="175">
      <c r="A175" s="85" t="s">
        <v>514</v>
      </c>
      <c r="B175" s="85" t="s">
        <v>504</v>
      </c>
      <c r="C175" s="88" t="s">
        <v>186</v>
      </c>
      <c r="D175" s="88" t="s">
        <v>515</v>
      </c>
      <c r="E175" s="85" t="str">
        <f t="shared" si="2"/>
        <v>Ni</v>
      </c>
      <c r="F175" s="84">
        <v>12500.0</v>
      </c>
    </row>
    <row r="176">
      <c r="A176" s="85" t="s">
        <v>516</v>
      </c>
      <c r="B176" s="85" t="s">
        <v>504</v>
      </c>
      <c r="C176" s="87" t="s">
        <v>186</v>
      </c>
      <c r="D176" s="87" t="s">
        <v>517</v>
      </c>
      <c r="E176" s="85" t="str">
        <f t="shared" si="2"/>
        <v>Ni</v>
      </c>
      <c r="F176" s="84">
        <v>13200.0</v>
      </c>
    </row>
    <row r="177">
      <c r="A177" s="85" t="s">
        <v>518</v>
      </c>
      <c r="B177" s="85" t="s">
        <v>504</v>
      </c>
      <c r="C177" s="88" t="s">
        <v>186</v>
      </c>
      <c r="D177" s="88" t="s">
        <v>519</v>
      </c>
      <c r="E177" s="85" t="str">
        <f t="shared" si="2"/>
        <v>Ni</v>
      </c>
      <c r="F177" s="84">
        <v>13200.0</v>
      </c>
    </row>
    <row r="178">
      <c r="A178" s="85" t="s">
        <v>520</v>
      </c>
      <c r="B178" s="85" t="s">
        <v>504</v>
      </c>
      <c r="C178" s="87" t="s">
        <v>186</v>
      </c>
      <c r="D178" s="87" t="s">
        <v>521</v>
      </c>
      <c r="E178" s="85" t="str">
        <f t="shared" si="2"/>
        <v>Ni</v>
      </c>
      <c r="F178" s="84">
        <v>13200.0</v>
      </c>
    </row>
    <row r="179">
      <c r="A179" s="85" t="s">
        <v>522</v>
      </c>
      <c r="B179" s="85" t="s">
        <v>504</v>
      </c>
      <c r="C179" s="88" t="s">
        <v>186</v>
      </c>
      <c r="D179" s="88" t="s">
        <v>523</v>
      </c>
      <c r="E179" s="85" t="str">
        <f t="shared" si="2"/>
        <v>Ni</v>
      </c>
      <c r="F179" s="84">
        <v>13200.0</v>
      </c>
    </row>
    <row r="180">
      <c r="A180" s="85" t="s">
        <v>524</v>
      </c>
      <c r="B180" s="85" t="s">
        <v>504</v>
      </c>
      <c r="C180" s="87" t="s">
        <v>186</v>
      </c>
      <c r="D180" s="87" t="s">
        <v>525</v>
      </c>
      <c r="E180" s="85" t="str">
        <f t="shared" si="2"/>
        <v>Ni</v>
      </c>
      <c r="F180" s="84">
        <v>13200.0</v>
      </c>
    </row>
    <row r="181">
      <c r="A181" s="85" t="s">
        <v>526</v>
      </c>
      <c r="B181" s="85" t="s">
        <v>504</v>
      </c>
      <c r="C181" s="88" t="s">
        <v>186</v>
      </c>
      <c r="D181" s="88" t="s">
        <v>527</v>
      </c>
      <c r="E181" s="85" t="str">
        <f t="shared" si="2"/>
        <v>Ni</v>
      </c>
      <c r="F181" s="84">
        <v>15900.0</v>
      </c>
    </row>
    <row r="182">
      <c r="A182" s="85" t="s">
        <v>528</v>
      </c>
      <c r="B182" s="85" t="s">
        <v>504</v>
      </c>
      <c r="C182" s="87" t="s">
        <v>186</v>
      </c>
      <c r="D182" s="87" t="s">
        <v>529</v>
      </c>
      <c r="E182" s="85" t="str">
        <f t="shared" si="2"/>
        <v>Ni</v>
      </c>
      <c r="F182" s="84">
        <v>13200.0</v>
      </c>
    </row>
    <row r="183">
      <c r="A183" s="85" t="s">
        <v>530</v>
      </c>
      <c r="B183" s="85" t="s">
        <v>504</v>
      </c>
      <c r="C183" s="88" t="s">
        <v>186</v>
      </c>
      <c r="D183" s="88" t="s">
        <v>531</v>
      </c>
      <c r="E183" s="85" t="str">
        <f t="shared" si="2"/>
        <v>Ni</v>
      </c>
      <c r="F183" s="84">
        <v>13200.0</v>
      </c>
    </row>
    <row r="184">
      <c r="A184" s="85" t="s">
        <v>532</v>
      </c>
      <c r="B184" s="85" t="s">
        <v>504</v>
      </c>
      <c r="C184" s="87" t="s">
        <v>186</v>
      </c>
      <c r="D184" s="87" t="s">
        <v>533</v>
      </c>
      <c r="E184" s="85" t="str">
        <f t="shared" si="2"/>
        <v>Ni</v>
      </c>
      <c r="F184" s="84">
        <v>49000.0</v>
      </c>
    </row>
    <row r="185">
      <c r="A185" s="82" t="s">
        <v>534</v>
      </c>
      <c r="B185" s="82" t="s">
        <v>74</v>
      </c>
      <c r="C185" s="82" t="s">
        <v>535</v>
      </c>
      <c r="D185" s="82" t="s">
        <v>22</v>
      </c>
      <c r="E185" s="95" t="str">
        <f t="shared" si="2"/>
        <v>IX</v>
      </c>
      <c r="F185" s="84">
        <v>114500.0</v>
      </c>
    </row>
    <row r="186">
      <c r="A186" s="85" t="s">
        <v>536</v>
      </c>
      <c r="B186" s="85" t="s">
        <v>504</v>
      </c>
      <c r="C186" s="88" t="s">
        <v>186</v>
      </c>
      <c r="D186" s="88" t="s">
        <v>537</v>
      </c>
      <c r="E186" s="85" t="str">
        <f t="shared" si="2"/>
        <v>Ni</v>
      </c>
      <c r="F186" s="84">
        <v>49000.0</v>
      </c>
    </row>
    <row r="187">
      <c r="A187" s="85" t="s">
        <v>538</v>
      </c>
      <c r="B187" s="85" t="s">
        <v>504</v>
      </c>
      <c r="C187" s="87" t="s">
        <v>186</v>
      </c>
      <c r="D187" s="87" t="s">
        <v>539</v>
      </c>
      <c r="E187" s="85" t="str">
        <f t="shared" si="2"/>
        <v>Ni</v>
      </c>
      <c r="F187" s="84">
        <v>15900.0</v>
      </c>
    </row>
    <row r="188">
      <c r="A188" s="83" t="s">
        <v>540</v>
      </c>
      <c r="B188" s="83" t="s">
        <v>504</v>
      </c>
      <c r="C188" s="83" t="s">
        <v>186</v>
      </c>
      <c r="D188" s="83" t="s">
        <v>541</v>
      </c>
      <c r="E188" s="83" t="str">
        <f t="shared" si="2"/>
        <v>Ni</v>
      </c>
      <c r="F188" s="84">
        <v>12500.0</v>
      </c>
    </row>
    <row r="189">
      <c r="A189" s="85" t="s">
        <v>542</v>
      </c>
      <c r="B189" s="85" t="s">
        <v>504</v>
      </c>
      <c r="C189" s="87" t="s">
        <v>186</v>
      </c>
      <c r="D189" s="87" t="s">
        <v>543</v>
      </c>
      <c r="E189" s="85" t="str">
        <f t="shared" si="2"/>
        <v>Ni</v>
      </c>
      <c r="F189" s="84">
        <v>15900.0</v>
      </c>
    </row>
    <row r="190">
      <c r="A190" s="85" t="s">
        <v>544</v>
      </c>
      <c r="B190" s="85" t="s">
        <v>504</v>
      </c>
      <c r="C190" s="88" t="s">
        <v>186</v>
      </c>
      <c r="D190" s="88" t="s">
        <v>545</v>
      </c>
      <c r="E190" s="85" t="str">
        <f t="shared" si="2"/>
        <v>Ni</v>
      </c>
      <c r="F190" s="84">
        <v>12700.0</v>
      </c>
    </row>
    <row r="191">
      <c r="A191" s="85" t="s">
        <v>546</v>
      </c>
      <c r="B191" s="85" t="s">
        <v>504</v>
      </c>
      <c r="C191" s="87" t="s">
        <v>186</v>
      </c>
      <c r="D191" s="87" t="s">
        <v>547</v>
      </c>
      <c r="E191" s="85" t="str">
        <f t="shared" si="2"/>
        <v>Ni</v>
      </c>
      <c r="F191" s="84">
        <v>12500.0</v>
      </c>
    </row>
    <row r="192">
      <c r="A192" s="85" t="s">
        <v>548</v>
      </c>
      <c r="B192" s="85" t="s">
        <v>504</v>
      </c>
      <c r="C192" s="88" t="s">
        <v>186</v>
      </c>
      <c r="D192" s="88" t="s">
        <v>549</v>
      </c>
      <c r="E192" s="85" t="str">
        <f t="shared" si="2"/>
        <v>Ni</v>
      </c>
      <c r="F192" s="84">
        <v>15900.0</v>
      </c>
    </row>
    <row r="193">
      <c r="A193" s="85" t="s">
        <v>550</v>
      </c>
      <c r="B193" s="85" t="s">
        <v>504</v>
      </c>
      <c r="C193" s="87" t="s">
        <v>186</v>
      </c>
      <c r="D193" s="87" t="s">
        <v>551</v>
      </c>
      <c r="E193" s="85" t="str">
        <f t="shared" si="2"/>
        <v>Ni</v>
      </c>
      <c r="F193" s="84">
        <v>15900.0</v>
      </c>
    </row>
    <row r="194">
      <c r="A194" s="85" t="s">
        <v>552</v>
      </c>
      <c r="B194" s="85" t="s">
        <v>504</v>
      </c>
      <c r="C194" s="88" t="s">
        <v>186</v>
      </c>
      <c r="D194" s="88" t="s">
        <v>553</v>
      </c>
      <c r="E194" s="85" t="str">
        <f t="shared" si="2"/>
        <v>Ni</v>
      </c>
      <c r="F194" s="84">
        <v>12500.0</v>
      </c>
    </row>
    <row r="195">
      <c r="A195" s="85" t="s">
        <v>554</v>
      </c>
      <c r="B195" s="85" t="s">
        <v>504</v>
      </c>
      <c r="C195" s="87" t="s">
        <v>186</v>
      </c>
      <c r="D195" s="87" t="s">
        <v>555</v>
      </c>
      <c r="E195" s="85" t="str">
        <f t="shared" si="2"/>
        <v>Ni</v>
      </c>
      <c r="F195" s="84">
        <v>15900.0</v>
      </c>
    </row>
    <row r="196">
      <c r="A196" s="85" t="s">
        <v>556</v>
      </c>
      <c r="B196" s="85" t="s">
        <v>504</v>
      </c>
      <c r="C196" s="88" t="s">
        <v>186</v>
      </c>
      <c r="D196" s="88" t="s">
        <v>557</v>
      </c>
      <c r="E196" s="85" t="str">
        <f t="shared" si="2"/>
        <v>Ni</v>
      </c>
      <c r="F196" s="84">
        <v>12500.0</v>
      </c>
    </row>
    <row r="197">
      <c r="A197" s="83" t="s">
        <v>558</v>
      </c>
      <c r="B197" s="83" t="s">
        <v>504</v>
      </c>
      <c r="C197" s="83" t="s">
        <v>186</v>
      </c>
      <c r="D197" s="83" t="s">
        <v>559</v>
      </c>
      <c r="E197" s="83" t="str">
        <f t="shared" si="2"/>
        <v>Ni</v>
      </c>
      <c r="F197" s="84">
        <v>12500.0</v>
      </c>
    </row>
    <row r="198">
      <c r="A198" s="85" t="s">
        <v>560</v>
      </c>
      <c r="B198" s="85" t="s">
        <v>504</v>
      </c>
      <c r="C198" s="88" t="s">
        <v>186</v>
      </c>
      <c r="D198" s="88" t="s">
        <v>561</v>
      </c>
      <c r="E198" s="85" t="str">
        <f t="shared" si="2"/>
        <v>Ni</v>
      </c>
      <c r="F198" s="84">
        <v>12500.0</v>
      </c>
    </row>
    <row r="199">
      <c r="A199" s="85" t="s">
        <v>562</v>
      </c>
      <c r="B199" s="85" t="s">
        <v>504</v>
      </c>
      <c r="C199" s="87" t="s">
        <v>186</v>
      </c>
      <c r="D199" s="87" t="s">
        <v>563</v>
      </c>
      <c r="E199" s="85" t="str">
        <f t="shared" si="2"/>
        <v>Ni</v>
      </c>
      <c r="F199" s="84">
        <v>12500.0</v>
      </c>
    </row>
    <row r="200">
      <c r="A200" s="85" t="s">
        <v>564</v>
      </c>
      <c r="B200" s="85" t="s">
        <v>504</v>
      </c>
      <c r="C200" s="88" t="s">
        <v>186</v>
      </c>
      <c r="D200" s="88" t="s">
        <v>565</v>
      </c>
      <c r="E200" s="85" t="str">
        <f t="shared" si="2"/>
        <v>Ni</v>
      </c>
      <c r="F200" s="84">
        <v>12500.0</v>
      </c>
    </row>
    <row r="201">
      <c r="A201" s="85" t="s">
        <v>566</v>
      </c>
      <c r="B201" s="85" t="s">
        <v>504</v>
      </c>
      <c r="C201" s="87" t="s">
        <v>186</v>
      </c>
      <c r="D201" s="87" t="s">
        <v>567</v>
      </c>
      <c r="E201" s="85" t="str">
        <f t="shared" si="2"/>
        <v>Ni</v>
      </c>
      <c r="F201" s="84">
        <v>12500.0</v>
      </c>
    </row>
    <row r="202">
      <c r="A202" s="85" t="s">
        <v>568</v>
      </c>
      <c r="B202" s="85" t="s">
        <v>504</v>
      </c>
      <c r="C202" s="88" t="s">
        <v>186</v>
      </c>
      <c r="D202" s="88" t="s">
        <v>569</v>
      </c>
      <c r="E202" s="85" t="str">
        <f t="shared" si="2"/>
        <v>Ni</v>
      </c>
      <c r="F202" s="84">
        <v>43750.0</v>
      </c>
    </row>
    <row r="203">
      <c r="A203" s="85" t="s">
        <v>570</v>
      </c>
      <c r="B203" s="85" t="s">
        <v>504</v>
      </c>
      <c r="C203" s="87" t="s">
        <v>186</v>
      </c>
      <c r="D203" s="87" t="s">
        <v>571</v>
      </c>
      <c r="E203" s="85" t="str">
        <f t="shared" si="2"/>
        <v>Ni</v>
      </c>
      <c r="F203" s="84">
        <v>15900.0</v>
      </c>
    </row>
    <row r="204">
      <c r="A204" s="85" t="s">
        <v>572</v>
      </c>
      <c r="B204" s="85" t="s">
        <v>504</v>
      </c>
      <c r="C204" s="88" t="s">
        <v>186</v>
      </c>
      <c r="D204" s="88" t="s">
        <v>573</v>
      </c>
      <c r="E204" s="85" t="str">
        <f t="shared" si="2"/>
        <v>Ni</v>
      </c>
      <c r="F204" s="84">
        <v>15900.0</v>
      </c>
    </row>
    <row r="205">
      <c r="A205" s="85" t="s">
        <v>574</v>
      </c>
      <c r="B205" s="85" t="s">
        <v>504</v>
      </c>
      <c r="C205" s="87" t="s">
        <v>186</v>
      </c>
      <c r="D205" s="87" t="s">
        <v>575</v>
      </c>
      <c r="E205" s="85" t="str">
        <f t="shared" si="2"/>
        <v>Ni</v>
      </c>
      <c r="F205" s="84">
        <v>15900.0</v>
      </c>
    </row>
    <row r="206">
      <c r="A206" s="85" t="s">
        <v>576</v>
      </c>
      <c r="B206" s="85" t="s">
        <v>504</v>
      </c>
      <c r="C206" s="88" t="s">
        <v>186</v>
      </c>
      <c r="D206" s="88" t="s">
        <v>577</v>
      </c>
      <c r="E206" s="85" t="str">
        <f t="shared" si="2"/>
        <v>Ni</v>
      </c>
      <c r="F206" s="84">
        <v>57650.0</v>
      </c>
    </row>
    <row r="207">
      <c r="A207" s="85" t="s">
        <v>578</v>
      </c>
      <c r="B207" s="85" t="s">
        <v>504</v>
      </c>
      <c r="C207" s="87" t="s">
        <v>186</v>
      </c>
      <c r="D207" s="87" t="s">
        <v>579</v>
      </c>
      <c r="E207" s="85" t="str">
        <f t="shared" si="2"/>
        <v>Ni</v>
      </c>
      <c r="F207" s="1">
        <v>17900.0</v>
      </c>
    </row>
    <row r="208">
      <c r="A208" s="85" t="s">
        <v>580</v>
      </c>
      <c r="B208" s="85" t="s">
        <v>504</v>
      </c>
      <c r="C208" s="87" t="s">
        <v>186</v>
      </c>
      <c r="D208" s="88" t="s">
        <v>581</v>
      </c>
      <c r="E208" s="85" t="str">
        <f t="shared" si="2"/>
        <v>Ni</v>
      </c>
      <c r="F208" s="1">
        <v>17900.0</v>
      </c>
    </row>
    <row r="209">
      <c r="A209" s="85" t="s">
        <v>582</v>
      </c>
      <c r="B209" s="85" t="s">
        <v>504</v>
      </c>
      <c r="C209" s="88" t="s">
        <v>186</v>
      </c>
      <c r="D209" s="88" t="s">
        <v>583</v>
      </c>
      <c r="E209" s="85" t="str">
        <f t="shared" si="2"/>
        <v>Ni</v>
      </c>
      <c r="F209" s="84">
        <v>57650.0</v>
      </c>
    </row>
    <row r="210">
      <c r="A210" s="85" t="s">
        <v>584</v>
      </c>
      <c r="B210" s="85" t="s">
        <v>504</v>
      </c>
      <c r="C210" s="87" t="s">
        <v>186</v>
      </c>
      <c r="D210" s="87" t="s">
        <v>585</v>
      </c>
      <c r="E210" s="85" t="str">
        <f t="shared" si="2"/>
        <v>Ni</v>
      </c>
      <c r="F210" s="84">
        <v>17600.0</v>
      </c>
    </row>
    <row r="211">
      <c r="A211" s="85" t="s">
        <v>586</v>
      </c>
      <c r="B211" s="85" t="s">
        <v>504</v>
      </c>
      <c r="C211" s="88" t="s">
        <v>186</v>
      </c>
      <c r="D211" s="88" t="s">
        <v>587</v>
      </c>
      <c r="E211" s="85" t="str">
        <f t="shared" si="2"/>
        <v>Ni</v>
      </c>
      <c r="F211" s="84">
        <v>20800.0</v>
      </c>
    </row>
    <row r="212">
      <c r="A212" s="85" t="s">
        <v>588</v>
      </c>
      <c r="B212" s="85" t="s">
        <v>504</v>
      </c>
      <c r="C212" s="87" t="s">
        <v>186</v>
      </c>
      <c r="D212" s="87" t="s">
        <v>589</v>
      </c>
      <c r="E212" s="85" t="str">
        <f t="shared" si="2"/>
        <v>Ni</v>
      </c>
      <c r="F212" s="84">
        <v>17600.0</v>
      </c>
    </row>
    <row r="213">
      <c r="A213" s="85" t="s">
        <v>590</v>
      </c>
      <c r="B213" s="85" t="s">
        <v>504</v>
      </c>
      <c r="C213" s="88" t="s">
        <v>186</v>
      </c>
      <c r="D213" s="88" t="s">
        <v>591</v>
      </c>
      <c r="E213" s="85" t="str">
        <f t="shared" si="2"/>
        <v>Ni</v>
      </c>
      <c r="F213" s="84">
        <v>16000.0</v>
      </c>
    </row>
    <row r="214">
      <c r="A214" s="85" t="s">
        <v>592</v>
      </c>
      <c r="B214" s="85" t="s">
        <v>504</v>
      </c>
      <c r="C214" s="87" t="s">
        <v>186</v>
      </c>
      <c r="D214" s="87" t="s">
        <v>593</v>
      </c>
      <c r="E214" s="85" t="str">
        <f t="shared" si="2"/>
        <v>Ni</v>
      </c>
      <c r="F214" s="84">
        <v>16000.0</v>
      </c>
    </row>
    <row r="215">
      <c r="A215" s="85" t="s">
        <v>594</v>
      </c>
      <c r="B215" s="85" t="s">
        <v>504</v>
      </c>
      <c r="C215" s="88" t="s">
        <v>186</v>
      </c>
      <c r="D215" s="88" t="s">
        <v>595</v>
      </c>
      <c r="E215" s="85" t="str">
        <f t="shared" si="2"/>
        <v>Ni</v>
      </c>
      <c r="F215" s="84">
        <v>18900.0</v>
      </c>
    </row>
    <row r="216">
      <c r="A216" s="85" t="s">
        <v>596</v>
      </c>
      <c r="B216" s="85" t="s">
        <v>504</v>
      </c>
      <c r="C216" s="87" t="s">
        <v>186</v>
      </c>
      <c r="D216" s="87" t="s">
        <v>597</v>
      </c>
      <c r="E216" s="85" t="str">
        <f t="shared" si="2"/>
        <v>Ni</v>
      </c>
      <c r="F216" s="84">
        <v>35600.0</v>
      </c>
    </row>
    <row r="217">
      <c r="A217" s="85" t="s">
        <v>598</v>
      </c>
      <c r="B217" s="85" t="s">
        <v>504</v>
      </c>
      <c r="C217" s="88" t="s">
        <v>186</v>
      </c>
      <c r="D217" s="88" t="s">
        <v>599</v>
      </c>
      <c r="E217" s="85" t="str">
        <f t="shared" si="2"/>
        <v>Ni</v>
      </c>
      <c r="F217" s="84">
        <v>22800.0</v>
      </c>
    </row>
    <row r="218">
      <c r="A218" s="85" t="s">
        <v>600</v>
      </c>
      <c r="B218" s="85" t="s">
        <v>504</v>
      </c>
      <c r="C218" s="87" t="s">
        <v>186</v>
      </c>
      <c r="D218" s="87" t="s">
        <v>601</v>
      </c>
      <c r="E218" s="85" t="str">
        <f t="shared" si="2"/>
        <v>Ni</v>
      </c>
      <c r="F218" s="84">
        <v>27000.0</v>
      </c>
    </row>
    <row r="219">
      <c r="A219" s="85" t="s">
        <v>602</v>
      </c>
      <c r="B219" s="85" t="s">
        <v>504</v>
      </c>
      <c r="C219" s="88" t="s">
        <v>186</v>
      </c>
      <c r="D219" s="88" t="s">
        <v>603</v>
      </c>
      <c r="E219" s="85" t="str">
        <f t="shared" si="2"/>
        <v>Ni</v>
      </c>
      <c r="F219" s="84">
        <v>27000.0</v>
      </c>
    </row>
    <row r="220">
      <c r="A220" s="85" t="s">
        <v>604</v>
      </c>
      <c r="B220" s="85" t="s">
        <v>504</v>
      </c>
      <c r="C220" s="87" t="s">
        <v>186</v>
      </c>
      <c r="D220" s="87" t="s">
        <v>605</v>
      </c>
      <c r="E220" s="85" t="str">
        <f t="shared" si="2"/>
        <v>Ni</v>
      </c>
      <c r="F220" s="84">
        <v>35600.0</v>
      </c>
    </row>
    <row r="221">
      <c r="A221" s="85" t="s">
        <v>606</v>
      </c>
      <c r="B221" s="85" t="s">
        <v>504</v>
      </c>
      <c r="C221" s="88" t="s">
        <v>186</v>
      </c>
      <c r="D221" s="88" t="s">
        <v>607</v>
      </c>
      <c r="E221" s="85" t="str">
        <f t="shared" si="2"/>
        <v>Ni</v>
      </c>
      <c r="F221" s="84">
        <v>55380.0</v>
      </c>
    </row>
    <row r="222">
      <c r="A222" s="85" t="s">
        <v>608</v>
      </c>
      <c r="B222" s="85" t="s">
        <v>504</v>
      </c>
      <c r="C222" s="87" t="s">
        <v>186</v>
      </c>
      <c r="D222" s="87" t="s">
        <v>609</v>
      </c>
      <c r="E222" s="85" t="str">
        <f t="shared" si="2"/>
        <v>Ni</v>
      </c>
      <c r="F222" s="84">
        <v>17600.0</v>
      </c>
    </row>
    <row r="223">
      <c r="A223" s="85" t="s">
        <v>610</v>
      </c>
      <c r="B223" s="85" t="s">
        <v>504</v>
      </c>
      <c r="C223" s="88" t="s">
        <v>186</v>
      </c>
      <c r="D223" s="88" t="s">
        <v>611</v>
      </c>
      <c r="E223" s="85" t="str">
        <f t="shared" si="2"/>
        <v>Ni</v>
      </c>
      <c r="F223" s="84">
        <v>69100.0</v>
      </c>
    </row>
    <row r="224">
      <c r="A224" s="85" t="s">
        <v>612</v>
      </c>
      <c r="B224" s="85" t="s">
        <v>504</v>
      </c>
      <c r="C224" s="87" t="s">
        <v>186</v>
      </c>
      <c r="D224" s="87" t="s">
        <v>613</v>
      </c>
      <c r="E224" s="85" t="str">
        <f t="shared" si="2"/>
        <v>Ni</v>
      </c>
      <c r="F224" s="84">
        <v>17600.0</v>
      </c>
    </row>
    <row r="225">
      <c r="A225" s="83" t="s">
        <v>614</v>
      </c>
      <c r="B225" s="85" t="s">
        <v>74</v>
      </c>
      <c r="C225" s="88" t="s">
        <v>334</v>
      </c>
      <c r="D225" s="88" t="s">
        <v>615</v>
      </c>
      <c r="E225" s="85" t="str">
        <f t="shared" si="2"/>
        <v>IX</v>
      </c>
      <c r="F225" s="84">
        <v>71700.0</v>
      </c>
    </row>
    <row r="226">
      <c r="A226" s="85" t="s">
        <v>616</v>
      </c>
      <c r="B226" s="85" t="s">
        <v>74</v>
      </c>
      <c r="C226" s="87" t="s">
        <v>337</v>
      </c>
      <c r="D226" s="87" t="s">
        <v>617</v>
      </c>
      <c r="E226" s="85" t="str">
        <f t="shared" si="2"/>
        <v>GP</v>
      </c>
      <c r="F226" s="84">
        <v>26800.0</v>
      </c>
    </row>
    <row r="227">
      <c r="A227" s="85" t="s">
        <v>618</v>
      </c>
      <c r="B227" s="85" t="s">
        <v>74</v>
      </c>
      <c r="C227" s="88" t="s">
        <v>337</v>
      </c>
      <c r="D227" s="88" t="s">
        <v>619</v>
      </c>
      <c r="E227" s="85" t="str">
        <f t="shared" si="2"/>
        <v>GP</v>
      </c>
      <c r="F227" s="84">
        <v>26800.0</v>
      </c>
    </row>
    <row r="228">
      <c r="A228" s="82" t="s">
        <v>620</v>
      </c>
      <c r="B228" s="85" t="s">
        <v>74</v>
      </c>
      <c r="C228" s="87" t="s">
        <v>337</v>
      </c>
      <c r="D228" s="87" t="s">
        <v>34</v>
      </c>
      <c r="E228" s="85" t="str">
        <f t="shared" si="2"/>
        <v>GP</v>
      </c>
      <c r="F228" s="1">
        <v>26800.0</v>
      </c>
    </row>
    <row r="229">
      <c r="A229" s="85" t="s">
        <v>621</v>
      </c>
      <c r="B229" s="85" t="s">
        <v>74</v>
      </c>
      <c r="C229" s="88" t="s">
        <v>334</v>
      </c>
      <c r="D229" s="88" t="s">
        <v>622</v>
      </c>
      <c r="E229" s="85" t="str">
        <f t="shared" si="2"/>
        <v>IX</v>
      </c>
      <c r="F229" s="84">
        <v>71700.0</v>
      </c>
    </row>
    <row r="230">
      <c r="A230" s="85" t="s">
        <v>623</v>
      </c>
      <c r="B230" s="85" t="s">
        <v>74</v>
      </c>
      <c r="C230" s="87" t="s">
        <v>334</v>
      </c>
      <c r="D230" s="87" t="s">
        <v>624</v>
      </c>
      <c r="E230" s="85" t="str">
        <f t="shared" si="2"/>
        <v>IX</v>
      </c>
      <c r="F230" s="84">
        <v>71700.0</v>
      </c>
    </row>
    <row r="231">
      <c r="A231" s="82" t="s">
        <v>625</v>
      </c>
      <c r="B231" s="85" t="s">
        <v>74</v>
      </c>
      <c r="C231" s="88" t="s">
        <v>337</v>
      </c>
      <c r="D231" s="88" t="s">
        <v>626</v>
      </c>
      <c r="E231" s="85" t="str">
        <f t="shared" si="2"/>
        <v>GP</v>
      </c>
      <c r="F231" s="1">
        <v>26800.0</v>
      </c>
    </row>
    <row r="232">
      <c r="A232" s="85" t="s">
        <v>627</v>
      </c>
      <c r="B232" s="85" t="s">
        <v>74</v>
      </c>
      <c r="C232" s="87" t="s">
        <v>334</v>
      </c>
      <c r="D232" s="87" t="s">
        <v>628</v>
      </c>
      <c r="E232" s="85" t="str">
        <f t="shared" si="2"/>
        <v>IX</v>
      </c>
      <c r="F232" s="84">
        <v>71700.0</v>
      </c>
    </row>
    <row r="233">
      <c r="A233" s="85" t="s">
        <v>629</v>
      </c>
      <c r="B233" s="85" t="s">
        <v>74</v>
      </c>
      <c r="C233" s="88" t="s">
        <v>334</v>
      </c>
      <c r="D233" s="88" t="s">
        <v>630</v>
      </c>
      <c r="E233" s="85" t="str">
        <f t="shared" si="2"/>
        <v>IX</v>
      </c>
      <c r="F233" s="84">
        <v>71700.0</v>
      </c>
    </row>
    <row r="234">
      <c r="A234" s="89" t="s">
        <v>631</v>
      </c>
      <c r="B234" s="85" t="s">
        <v>74</v>
      </c>
      <c r="C234" s="88" t="s">
        <v>334</v>
      </c>
      <c r="D234" s="91" t="s">
        <v>79</v>
      </c>
      <c r="E234" s="89" t="s">
        <v>334</v>
      </c>
      <c r="F234" s="6">
        <v>71700.0</v>
      </c>
    </row>
    <row r="235">
      <c r="A235" s="83" t="s">
        <v>632</v>
      </c>
      <c r="B235" s="85" t="s">
        <v>74</v>
      </c>
      <c r="C235" s="87" t="s">
        <v>334</v>
      </c>
      <c r="D235" s="91" t="s">
        <v>32</v>
      </c>
      <c r="E235" s="85" t="str">
        <f t="shared" ref="E235:E380" si="3">if(C235="YL","Ni",if(C235="GP","GP",if(C235="RACING","IX",if(C235="IL","IX",if(C235="IX","IX",if(C235="PL","IX","NONE"))))))</f>
        <v>IX</v>
      </c>
      <c r="F235" s="84">
        <v>71700.0</v>
      </c>
    </row>
    <row r="236">
      <c r="A236" s="85" t="s">
        <v>614</v>
      </c>
      <c r="B236" s="85" t="s">
        <v>74</v>
      </c>
      <c r="C236" s="88" t="s">
        <v>334</v>
      </c>
      <c r="D236" s="88" t="s">
        <v>633</v>
      </c>
      <c r="E236" s="85" t="str">
        <f t="shared" si="3"/>
        <v>IX</v>
      </c>
      <c r="F236" s="84">
        <v>71700.0</v>
      </c>
    </row>
    <row r="237">
      <c r="A237" s="85" t="s">
        <v>634</v>
      </c>
      <c r="B237" s="85" t="s">
        <v>74</v>
      </c>
      <c r="C237" s="87" t="s">
        <v>334</v>
      </c>
      <c r="D237" s="87" t="s">
        <v>635</v>
      </c>
      <c r="E237" s="85" t="str">
        <f t="shared" si="3"/>
        <v>IX</v>
      </c>
      <c r="F237" s="84">
        <v>71700.0</v>
      </c>
    </row>
    <row r="238">
      <c r="A238" s="85" t="s">
        <v>636</v>
      </c>
      <c r="B238" s="85" t="s">
        <v>74</v>
      </c>
      <c r="C238" s="88" t="s">
        <v>337</v>
      </c>
      <c r="D238" s="90" t="s">
        <v>36</v>
      </c>
      <c r="E238" s="85" t="str">
        <f t="shared" si="3"/>
        <v>GP</v>
      </c>
      <c r="F238" s="84">
        <v>26800.0</v>
      </c>
    </row>
    <row r="239">
      <c r="A239" s="82" t="s">
        <v>637</v>
      </c>
      <c r="B239" s="85" t="s">
        <v>74</v>
      </c>
      <c r="C239" s="88" t="s">
        <v>337</v>
      </c>
      <c r="D239" s="90" t="s">
        <v>638</v>
      </c>
      <c r="E239" s="85" t="str">
        <f t="shared" si="3"/>
        <v>GP</v>
      </c>
      <c r="F239" s="84">
        <v>26800.0</v>
      </c>
    </row>
    <row r="240">
      <c r="A240" s="85" t="s">
        <v>639</v>
      </c>
      <c r="B240" s="85" t="s">
        <v>74</v>
      </c>
      <c r="C240" s="87" t="s">
        <v>334</v>
      </c>
      <c r="D240" s="87" t="s">
        <v>640</v>
      </c>
      <c r="E240" s="85" t="str">
        <f t="shared" si="3"/>
        <v>IX</v>
      </c>
      <c r="F240" s="84">
        <v>71700.0</v>
      </c>
    </row>
    <row r="241">
      <c r="A241" s="85" t="s">
        <v>641</v>
      </c>
      <c r="B241" s="85" t="s">
        <v>74</v>
      </c>
      <c r="C241" s="88" t="s">
        <v>334</v>
      </c>
      <c r="D241" s="88" t="s">
        <v>642</v>
      </c>
      <c r="E241" s="85" t="str">
        <f t="shared" si="3"/>
        <v>IX</v>
      </c>
      <c r="F241" s="84">
        <v>71700.0</v>
      </c>
    </row>
    <row r="242">
      <c r="A242" s="82" t="s">
        <v>643</v>
      </c>
      <c r="B242" s="85" t="s">
        <v>74</v>
      </c>
      <c r="C242" s="88" t="s">
        <v>334</v>
      </c>
      <c r="D242" s="90" t="s">
        <v>644</v>
      </c>
      <c r="E242" s="85" t="str">
        <f t="shared" si="3"/>
        <v>IX</v>
      </c>
      <c r="F242" s="84">
        <v>71700.0</v>
      </c>
    </row>
    <row r="243">
      <c r="A243" s="85" t="s">
        <v>645</v>
      </c>
      <c r="B243" s="85" t="s">
        <v>74</v>
      </c>
      <c r="C243" s="87" t="s">
        <v>337</v>
      </c>
      <c r="D243" s="87" t="s">
        <v>646</v>
      </c>
      <c r="E243" s="85" t="str">
        <f t="shared" si="3"/>
        <v>GP</v>
      </c>
      <c r="F243" s="84">
        <v>26800.0</v>
      </c>
    </row>
    <row r="244">
      <c r="A244" s="85" t="s">
        <v>647</v>
      </c>
      <c r="B244" s="85" t="s">
        <v>74</v>
      </c>
      <c r="C244" s="88" t="s">
        <v>334</v>
      </c>
      <c r="D244" s="88" t="s">
        <v>648</v>
      </c>
      <c r="E244" s="85" t="str">
        <f t="shared" si="3"/>
        <v>IX</v>
      </c>
      <c r="F244" s="84">
        <v>71700.0</v>
      </c>
    </row>
    <row r="245">
      <c r="A245" s="85" t="s">
        <v>649</v>
      </c>
      <c r="B245" s="85" t="s">
        <v>74</v>
      </c>
      <c r="C245" s="87" t="s">
        <v>334</v>
      </c>
      <c r="D245" s="87" t="s">
        <v>650</v>
      </c>
      <c r="E245" s="85" t="str">
        <f t="shared" si="3"/>
        <v>IX</v>
      </c>
      <c r="F245" s="84">
        <v>71700.0</v>
      </c>
    </row>
    <row r="246">
      <c r="A246" s="89" t="s">
        <v>651</v>
      </c>
      <c r="B246" s="85" t="s">
        <v>74</v>
      </c>
      <c r="C246" s="87" t="s">
        <v>334</v>
      </c>
      <c r="D246" s="91" t="s">
        <v>652</v>
      </c>
      <c r="E246" s="85" t="str">
        <f t="shared" si="3"/>
        <v>IX</v>
      </c>
      <c r="F246" s="84">
        <v>71700.0</v>
      </c>
    </row>
    <row r="247">
      <c r="A247" s="85" t="s">
        <v>653</v>
      </c>
      <c r="B247" s="85" t="s">
        <v>74</v>
      </c>
      <c r="C247" s="88" t="s">
        <v>334</v>
      </c>
      <c r="D247" s="88" t="s">
        <v>654</v>
      </c>
      <c r="E247" s="85" t="str">
        <f t="shared" si="3"/>
        <v>IX</v>
      </c>
      <c r="F247" s="84">
        <v>71700.0</v>
      </c>
    </row>
    <row r="248">
      <c r="A248" s="89" t="s">
        <v>655</v>
      </c>
      <c r="B248" s="85" t="s">
        <v>74</v>
      </c>
      <c r="C248" s="87" t="s">
        <v>337</v>
      </c>
      <c r="D248" s="87" t="s">
        <v>35</v>
      </c>
      <c r="E248" s="85" t="str">
        <f t="shared" si="3"/>
        <v>GP</v>
      </c>
      <c r="F248" s="1">
        <v>26800.0</v>
      </c>
    </row>
    <row r="249">
      <c r="A249" s="89" t="s">
        <v>656</v>
      </c>
      <c r="B249" s="85" t="s">
        <v>74</v>
      </c>
      <c r="C249" s="87" t="s">
        <v>337</v>
      </c>
      <c r="D249" s="91" t="s">
        <v>657</v>
      </c>
      <c r="E249" s="85" t="str">
        <f t="shared" si="3"/>
        <v>GP</v>
      </c>
      <c r="F249" s="1">
        <v>26800.0</v>
      </c>
    </row>
    <row r="250">
      <c r="A250" s="85" t="s">
        <v>658</v>
      </c>
      <c r="B250" s="85" t="s">
        <v>74</v>
      </c>
      <c r="C250" s="88" t="s">
        <v>334</v>
      </c>
      <c r="D250" s="88" t="s">
        <v>659</v>
      </c>
      <c r="E250" s="85" t="str">
        <f t="shared" si="3"/>
        <v>IX</v>
      </c>
      <c r="F250" s="84">
        <v>71700.0</v>
      </c>
    </row>
    <row r="251">
      <c r="A251" s="82" t="s">
        <v>660</v>
      </c>
      <c r="B251" s="85" t="s">
        <v>74</v>
      </c>
      <c r="C251" s="88" t="s">
        <v>334</v>
      </c>
      <c r="D251" s="90" t="s">
        <v>661</v>
      </c>
      <c r="E251" s="85" t="str">
        <f t="shared" si="3"/>
        <v>IX</v>
      </c>
      <c r="F251" s="84">
        <v>71700.0</v>
      </c>
    </row>
    <row r="252">
      <c r="A252" s="85" t="s">
        <v>662</v>
      </c>
      <c r="B252" s="85" t="s">
        <v>74</v>
      </c>
      <c r="C252" s="87" t="s">
        <v>334</v>
      </c>
      <c r="D252" s="87" t="s">
        <v>663</v>
      </c>
      <c r="E252" s="85" t="str">
        <f t="shared" si="3"/>
        <v>IX</v>
      </c>
      <c r="F252" s="84">
        <v>71700.0</v>
      </c>
    </row>
    <row r="253">
      <c r="A253" s="85" t="s">
        <v>664</v>
      </c>
      <c r="B253" s="85" t="s">
        <v>74</v>
      </c>
      <c r="C253" s="88" t="s">
        <v>181</v>
      </c>
      <c r="D253" s="88" t="s">
        <v>665</v>
      </c>
      <c r="E253" s="85" t="str">
        <f t="shared" si="3"/>
        <v>IX</v>
      </c>
      <c r="F253" s="1">
        <v>150700.0</v>
      </c>
    </row>
    <row r="254">
      <c r="A254" s="85" t="s">
        <v>666</v>
      </c>
      <c r="B254" s="85" t="s">
        <v>74</v>
      </c>
      <c r="C254" s="87" t="s">
        <v>181</v>
      </c>
      <c r="D254" s="87" t="s">
        <v>667</v>
      </c>
      <c r="E254" s="85" t="str">
        <f t="shared" si="3"/>
        <v>IX</v>
      </c>
      <c r="F254" s="1">
        <v>150700.0</v>
      </c>
    </row>
    <row r="255">
      <c r="A255" s="85" t="s">
        <v>668</v>
      </c>
      <c r="B255" s="85" t="s">
        <v>74</v>
      </c>
      <c r="C255" s="88" t="s">
        <v>181</v>
      </c>
      <c r="D255" s="88" t="s">
        <v>669</v>
      </c>
      <c r="E255" s="85" t="str">
        <f t="shared" si="3"/>
        <v>IX</v>
      </c>
      <c r="F255" s="84">
        <v>150700.0</v>
      </c>
    </row>
    <row r="256">
      <c r="A256" s="85" t="s">
        <v>670</v>
      </c>
      <c r="B256" s="85" t="s">
        <v>74</v>
      </c>
      <c r="C256" s="87" t="s">
        <v>181</v>
      </c>
      <c r="D256" s="87" t="s">
        <v>671</v>
      </c>
      <c r="E256" s="85" t="str">
        <f t="shared" si="3"/>
        <v>IX</v>
      </c>
      <c r="F256" s="84">
        <v>150700.0</v>
      </c>
    </row>
    <row r="257">
      <c r="A257" s="85" t="s">
        <v>672</v>
      </c>
      <c r="B257" s="85" t="s">
        <v>74</v>
      </c>
      <c r="C257" s="88" t="s">
        <v>181</v>
      </c>
      <c r="D257" s="88" t="s">
        <v>673</v>
      </c>
      <c r="E257" s="85" t="str">
        <f t="shared" si="3"/>
        <v>IX</v>
      </c>
      <c r="F257" s="84">
        <v>112500.0</v>
      </c>
    </row>
    <row r="258">
      <c r="A258" s="85" t="s">
        <v>674</v>
      </c>
      <c r="B258" s="85" t="s">
        <v>74</v>
      </c>
      <c r="C258" s="87" t="s">
        <v>181</v>
      </c>
      <c r="D258" s="87" t="s">
        <v>675</v>
      </c>
      <c r="E258" s="85" t="str">
        <f t="shared" si="3"/>
        <v>IX</v>
      </c>
      <c r="F258" s="84">
        <v>150700.0</v>
      </c>
    </row>
    <row r="259">
      <c r="A259" s="82" t="s">
        <v>676</v>
      </c>
      <c r="B259" s="85" t="s">
        <v>74</v>
      </c>
      <c r="C259" s="87" t="s">
        <v>181</v>
      </c>
      <c r="D259" s="90" t="s">
        <v>677</v>
      </c>
      <c r="E259" s="85" t="str">
        <f t="shared" si="3"/>
        <v>IX</v>
      </c>
      <c r="F259" s="84">
        <v>150700.0</v>
      </c>
    </row>
    <row r="260">
      <c r="A260" s="82" t="s">
        <v>678</v>
      </c>
      <c r="B260" s="85" t="s">
        <v>74</v>
      </c>
      <c r="C260" s="90" t="s">
        <v>181</v>
      </c>
      <c r="D260" s="90" t="s">
        <v>679</v>
      </c>
      <c r="E260" s="85" t="str">
        <f t="shared" si="3"/>
        <v>IX</v>
      </c>
      <c r="F260" s="84">
        <v>150700.0</v>
      </c>
    </row>
    <row r="261">
      <c r="A261" s="85" t="s">
        <v>680</v>
      </c>
      <c r="B261" s="85" t="s">
        <v>74</v>
      </c>
      <c r="C261" s="88" t="s">
        <v>181</v>
      </c>
      <c r="D261" s="88" t="s">
        <v>681</v>
      </c>
      <c r="E261" s="85" t="str">
        <f t="shared" si="3"/>
        <v>IX</v>
      </c>
      <c r="F261" s="84">
        <v>150700.0</v>
      </c>
    </row>
    <row r="262">
      <c r="A262" s="85" t="s">
        <v>682</v>
      </c>
      <c r="B262" s="85" t="s">
        <v>74</v>
      </c>
      <c r="C262" s="87" t="s">
        <v>181</v>
      </c>
      <c r="D262" s="87" t="s">
        <v>683</v>
      </c>
      <c r="E262" s="85" t="str">
        <f t="shared" si="3"/>
        <v>IX</v>
      </c>
      <c r="F262" s="84">
        <v>150700.0</v>
      </c>
    </row>
    <row r="263">
      <c r="A263" s="85" t="s">
        <v>684</v>
      </c>
      <c r="B263" s="85" t="s">
        <v>74</v>
      </c>
      <c r="C263" s="88" t="s">
        <v>181</v>
      </c>
      <c r="D263" s="88" t="s">
        <v>685</v>
      </c>
      <c r="E263" s="85" t="str">
        <f t="shared" si="3"/>
        <v>IX</v>
      </c>
      <c r="F263" s="84">
        <v>150700.0</v>
      </c>
    </row>
    <row r="264">
      <c r="A264" s="85" t="s">
        <v>686</v>
      </c>
      <c r="B264" s="85" t="s">
        <v>74</v>
      </c>
      <c r="C264" s="87" t="s">
        <v>181</v>
      </c>
      <c r="D264" s="87" t="s">
        <v>687</v>
      </c>
      <c r="E264" s="85" t="str">
        <f t="shared" si="3"/>
        <v>IX</v>
      </c>
      <c r="F264" s="84">
        <v>150700.0</v>
      </c>
    </row>
    <row r="265">
      <c r="A265" s="85" t="s">
        <v>688</v>
      </c>
      <c r="B265" s="85" t="s">
        <v>74</v>
      </c>
      <c r="C265" s="88" t="s">
        <v>181</v>
      </c>
      <c r="D265" s="88" t="s">
        <v>689</v>
      </c>
      <c r="E265" s="85" t="str">
        <f t="shared" si="3"/>
        <v>IX</v>
      </c>
      <c r="F265" s="84">
        <v>150700.0</v>
      </c>
    </row>
    <row r="266">
      <c r="A266" s="89" t="s">
        <v>690</v>
      </c>
      <c r="B266" s="85" t="s">
        <v>74</v>
      </c>
      <c r="C266" s="88" t="s">
        <v>181</v>
      </c>
      <c r="D266" s="90" t="s">
        <v>691</v>
      </c>
      <c r="E266" s="85" t="str">
        <f t="shared" si="3"/>
        <v>IX</v>
      </c>
      <c r="F266" s="84">
        <v>150700.0</v>
      </c>
    </row>
    <row r="267">
      <c r="A267" s="83" t="s">
        <v>692</v>
      </c>
      <c r="B267" s="85" t="s">
        <v>74</v>
      </c>
      <c r="C267" s="87" t="s">
        <v>181</v>
      </c>
      <c r="D267" s="87" t="s">
        <v>693</v>
      </c>
      <c r="E267" s="85" t="str">
        <f t="shared" si="3"/>
        <v>IX</v>
      </c>
      <c r="F267" s="84">
        <v>150700.0</v>
      </c>
    </row>
    <row r="268">
      <c r="A268" s="82" t="s">
        <v>694</v>
      </c>
      <c r="B268" s="83" t="s">
        <v>74</v>
      </c>
      <c r="C268" s="83" t="s">
        <v>181</v>
      </c>
      <c r="D268" s="82" t="s">
        <v>76</v>
      </c>
      <c r="E268" s="83" t="str">
        <f t="shared" si="3"/>
        <v>IX</v>
      </c>
      <c r="F268" s="92">
        <v>181300.0</v>
      </c>
    </row>
    <row r="269">
      <c r="A269" s="85" t="s">
        <v>695</v>
      </c>
      <c r="B269" s="85" t="s">
        <v>74</v>
      </c>
      <c r="C269" s="88" t="s">
        <v>181</v>
      </c>
      <c r="D269" s="82" t="s">
        <v>30</v>
      </c>
      <c r="E269" s="85" t="str">
        <f t="shared" si="3"/>
        <v>IX</v>
      </c>
      <c r="F269" s="84">
        <v>150700.0</v>
      </c>
    </row>
    <row r="270">
      <c r="A270" s="85" t="s">
        <v>696</v>
      </c>
      <c r="B270" s="85" t="s">
        <v>74</v>
      </c>
      <c r="C270" s="87" t="s">
        <v>181</v>
      </c>
      <c r="D270" s="87" t="s">
        <v>697</v>
      </c>
      <c r="E270" s="85" t="str">
        <f t="shared" si="3"/>
        <v>IX</v>
      </c>
      <c r="F270" s="84">
        <v>150700.0</v>
      </c>
    </row>
    <row r="271">
      <c r="A271" s="85" t="s">
        <v>698</v>
      </c>
      <c r="B271" s="85" t="s">
        <v>74</v>
      </c>
      <c r="C271" s="88" t="s">
        <v>181</v>
      </c>
      <c r="D271" s="88" t="s">
        <v>699</v>
      </c>
      <c r="E271" s="85" t="str">
        <f t="shared" si="3"/>
        <v>IX</v>
      </c>
      <c r="F271" s="84">
        <v>150700.0</v>
      </c>
    </row>
    <row r="272">
      <c r="A272" s="85" t="s">
        <v>700</v>
      </c>
      <c r="B272" s="85" t="s">
        <v>74</v>
      </c>
      <c r="C272" s="87" t="s">
        <v>181</v>
      </c>
      <c r="D272" s="87" t="s">
        <v>701</v>
      </c>
      <c r="E272" s="85" t="str">
        <f t="shared" si="3"/>
        <v>IX</v>
      </c>
      <c r="F272" s="84">
        <v>112500.0</v>
      </c>
    </row>
    <row r="273">
      <c r="A273" s="89" t="s">
        <v>702</v>
      </c>
      <c r="B273" s="85" t="s">
        <v>74</v>
      </c>
      <c r="C273" s="87" t="s">
        <v>181</v>
      </c>
      <c r="D273" s="91" t="s">
        <v>703</v>
      </c>
      <c r="E273" s="85" t="str">
        <f t="shared" si="3"/>
        <v>IX</v>
      </c>
      <c r="F273" s="84">
        <v>112500.0</v>
      </c>
    </row>
    <row r="274">
      <c r="A274" s="85" t="s">
        <v>704</v>
      </c>
      <c r="B274" s="85" t="s">
        <v>74</v>
      </c>
      <c r="C274" s="88" t="s">
        <v>181</v>
      </c>
      <c r="D274" s="88" t="s">
        <v>705</v>
      </c>
      <c r="E274" s="85" t="str">
        <f t="shared" si="3"/>
        <v>IX</v>
      </c>
      <c r="F274" s="84">
        <v>150700.0</v>
      </c>
    </row>
    <row r="275">
      <c r="A275" s="85" t="s">
        <v>706</v>
      </c>
      <c r="B275" s="85" t="s">
        <v>74</v>
      </c>
      <c r="C275" s="87" t="s">
        <v>181</v>
      </c>
      <c r="D275" s="87" t="s">
        <v>707</v>
      </c>
      <c r="E275" s="85" t="str">
        <f t="shared" si="3"/>
        <v>IX</v>
      </c>
      <c r="F275" s="84">
        <v>150700.0</v>
      </c>
    </row>
    <row r="276">
      <c r="A276" s="85" t="s">
        <v>708</v>
      </c>
      <c r="B276" s="85" t="s">
        <v>74</v>
      </c>
      <c r="C276" s="88" t="s">
        <v>181</v>
      </c>
      <c r="D276" s="82" t="s">
        <v>29</v>
      </c>
      <c r="E276" s="85" t="str">
        <f t="shared" si="3"/>
        <v>IX</v>
      </c>
      <c r="F276" s="84">
        <v>150700.0</v>
      </c>
    </row>
    <row r="277">
      <c r="A277" s="85" t="s">
        <v>709</v>
      </c>
      <c r="B277" s="85" t="s">
        <v>74</v>
      </c>
      <c r="C277" s="87" t="s">
        <v>181</v>
      </c>
      <c r="D277" s="87" t="s">
        <v>710</v>
      </c>
      <c r="E277" s="85" t="str">
        <f t="shared" si="3"/>
        <v>IX</v>
      </c>
      <c r="F277" s="84">
        <v>150700.0</v>
      </c>
    </row>
    <row r="278">
      <c r="A278" s="85" t="s">
        <v>711</v>
      </c>
      <c r="B278" s="85" t="s">
        <v>74</v>
      </c>
      <c r="C278" s="88" t="s">
        <v>181</v>
      </c>
      <c r="D278" s="88" t="s">
        <v>712</v>
      </c>
      <c r="E278" s="85" t="str">
        <f t="shared" si="3"/>
        <v>IX</v>
      </c>
      <c r="F278" s="84">
        <v>150700.0</v>
      </c>
    </row>
    <row r="279">
      <c r="A279" s="85" t="s">
        <v>713</v>
      </c>
      <c r="B279" s="85" t="s">
        <v>74</v>
      </c>
      <c r="C279" s="87" t="s">
        <v>181</v>
      </c>
      <c r="D279" s="87" t="s">
        <v>714</v>
      </c>
      <c r="E279" s="85" t="str">
        <f t="shared" si="3"/>
        <v>IX</v>
      </c>
      <c r="F279" s="84">
        <v>150700.0</v>
      </c>
    </row>
    <row r="280">
      <c r="A280" s="85" t="s">
        <v>715</v>
      </c>
      <c r="B280" s="85" t="s">
        <v>74</v>
      </c>
      <c r="C280" s="88" t="s">
        <v>181</v>
      </c>
      <c r="D280" s="88" t="s">
        <v>716</v>
      </c>
      <c r="E280" s="85" t="str">
        <f t="shared" si="3"/>
        <v>IX</v>
      </c>
      <c r="F280" s="84">
        <v>150700.0</v>
      </c>
    </row>
    <row r="281">
      <c r="A281" s="85" t="s">
        <v>717</v>
      </c>
      <c r="B281" s="85" t="s">
        <v>74</v>
      </c>
      <c r="C281" s="87" t="s">
        <v>181</v>
      </c>
      <c r="D281" s="87" t="s">
        <v>718</v>
      </c>
      <c r="E281" s="85" t="str">
        <f t="shared" si="3"/>
        <v>IX</v>
      </c>
      <c r="F281" s="84">
        <v>150700.0</v>
      </c>
    </row>
    <row r="282">
      <c r="A282" s="89" t="s">
        <v>719</v>
      </c>
      <c r="B282" s="85" t="s">
        <v>74</v>
      </c>
      <c r="C282" s="87" t="s">
        <v>181</v>
      </c>
      <c r="D282" s="91" t="s">
        <v>720</v>
      </c>
      <c r="E282" s="85" t="str">
        <f t="shared" si="3"/>
        <v>IX</v>
      </c>
      <c r="F282" s="84">
        <v>150700.0</v>
      </c>
    </row>
    <row r="283">
      <c r="A283" s="85" t="s">
        <v>721</v>
      </c>
      <c r="B283" s="85" t="s">
        <v>74</v>
      </c>
      <c r="C283" s="88" t="s">
        <v>181</v>
      </c>
      <c r="D283" s="88" t="s">
        <v>722</v>
      </c>
      <c r="E283" s="85" t="str">
        <f t="shared" si="3"/>
        <v>IX</v>
      </c>
      <c r="F283" s="84">
        <v>150700.0</v>
      </c>
    </row>
    <row r="284">
      <c r="A284" s="82" t="s">
        <v>723</v>
      </c>
      <c r="B284" s="85" t="s">
        <v>74</v>
      </c>
      <c r="C284" s="88" t="s">
        <v>181</v>
      </c>
      <c r="D284" s="91" t="s">
        <v>64</v>
      </c>
      <c r="E284" s="85" t="str">
        <f t="shared" si="3"/>
        <v>IX</v>
      </c>
      <c r="F284" s="6">
        <v>105700.0</v>
      </c>
    </row>
    <row r="285">
      <c r="A285" s="83" t="s">
        <v>724</v>
      </c>
      <c r="B285" s="85" t="s">
        <v>74</v>
      </c>
      <c r="C285" s="87" t="s">
        <v>181</v>
      </c>
      <c r="D285" s="87" t="s">
        <v>725</v>
      </c>
      <c r="E285" s="85" t="str">
        <f t="shared" si="3"/>
        <v>IX</v>
      </c>
      <c r="F285" s="84">
        <v>150700.0</v>
      </c>
    </row>
    <row r="286">
      <c r="A286" s="85" t="s">
        <v>726</v>
      </c>
      <c r="B286" s="85" t="s">
        <v>74</v>
      </c>
      <c r="C286" s="88" t="s">
        <v>181</v>
      </c>
      <c r="D286" s="90" t="s">
        <v>47</v>
      </c>
      <c r="E286" s="85" t="str">
        <f t="shared" si="3"/>
        <v>IX</v>
      </c>
      <c r="F286" s="84">
        <v>150700.0</v>
      </c>
    </row>
    <row r="287">
      <c r="A287" s="85" t="s">
        <v>727</v>
      </c>
      <c r="B287" s="85" t="s">
        <v>74</v>
      </c>
      <c r="C287" s="87" t="s">
        <v>181</v>
      </c>
      <c r="D287" s="87" t="s">
        <v>728</v>
      </c>
      <c r="E287" s="85" t="str">
        <f t="shared" si="3"/>
        <v>IX</v>
      </c>
      <c r="F287" s="84">
        <v>150700.0</v>
      </c>
    </row>
    <row r="288">
      <c r="A288" s="89" t="s">
        <v>729</v>
      </c>
      <c r="B288" s="85" t="s">
        <v>74</v>
      </c>
      <c r="C288" s="87" t="s">
        <v>181</v>
      </c>
      <c r="D288" s="91" t="s">
        <v>730</v>
      </c>
      <c r="E288" s="85" t="str">
        <f t="shared" si="3"/>
        <v>IX</v>
      </c>
      <c r="F288" s="84">
        <v>150700.0</v>
      </c>
    </row>
    <row r="289">
      <c r="A289" s="89" t="s">
        <v>731</v>
      </c>
      <c r="B289" s="89" t="s">
        <v>74</v>
      </c>
      <c r="C289" s="90" t="s">
        <v>181</v>
      </c>
      <c r="D289" s="90" t="s">
        <v>68</v>
      </c>
      <c r="E289" s="85" t="str">
        <f t="shared" si="3"/>
        <v>IX</v>
      </c>
      <c r="F289" s="6">
        <v>222700.0</v>
      </c>
    </row>
    <row r="290">
      <c r="A290" s="89" t="s">
        <v>732</v>
      </c>
      <c r="B290" s="89" t="s">
        <v>74</v>
      </c>
      <c r="C290" s="90" t="s">
        <v>181</v>
      </c>
      <c r="D290" s="96" t="s">
        <v>69</v>
      </c>
      <c r="E290" s="85" t="str">
        <f t="shared" si="3"/>
        <v>IX</v>
      </c>
      <c r="F290" s="6">
        <v>150700.0</v>
      </c>
    </row>
    <row r="291">
      <c r="A291" s="89" t="s">
        <v>733</v>
      </c>
      <c r="B291" s="89" t="s">
        <v>74</v>
      </c>
      <c r="C291" s="90" t="s">
        <v>181</v>
      </c>
      <c r="D291" s="96" t="s">
        <v>70</v>
      </c>
      <c r="E291" s="85" t="str">
        <f t="shared" si="3"/>
        <v>IX</v>
      </c>
      <c r="F291" s="6">
        <v>181300.0</v>
      </c>
    </row>
    <row r="292">
      <c r="A292" s="85" t="s">
        <v>734</v>
      </c>
      <c r="B292" s="85" t="s">
        <v>74</v>
      </c>
      <c r="C292" s="88" t="s">
        <v>181</v>
      </c>
      <c r="D292" s="88" t="s">
        <v>735</v>
      </c>
      <c r="E292" s="85" t="str">
        <f t="shared" si="3"/>
        <v>IX</v>
      </c>
      <c r="F292" s="84">
        <v>150700.0</v>
      </c>
    </row>
    <row r="293">
      <c r="A293" s="85" t="s">
        <v>736</v>
      </c>
      <c r="B293" s="85" t="s">
        <v>74</v>
      </c>
      <c r="C293" s="87" t="s">
        <v>181</v>
      </c>
      <c r="D293" s="82" t="s">
        <v>28</v>
      </c>
      <c r="E293" s="85" t="str">
        <f t="shared" si="3"/>
        <v>IX</v>
      </c>
      <c r="F293" s="84">
        <v>150700.0</v>
      </c>
    </row>
    <row r="294">
      <c r="A294" s="85" t="s">
        <v>737</v>
      </c>
      <c r="B294" s="85" t="s">
        <v>74</v>
      </c>
      <c r="C294" s="88" t="s">
        <v>181</v>
      </c>
      <c r="D294" s="88" t="s">
        <v>738</v>
      </c>
      <c r="E294" s="85" t="str">
        <f t="shared" si="3"/>
        <v>IX</v>
      </c>
      <c r="F294" s="84">
        <v>150700.0</v>
      </c>
    </row>
    <row r="295">
      <c r="A295" s="85" t="s">
        <v>739</v>
      </c>
      <c r="B295" s="85" t="s">
        <v>74</v>
      </c>
      <c r="C295" s="87" t="s">
        <v>181</v>
      </c>
      <c r="D295" s="87" t="s">
        <v>740</v>
      </c>
      <c r="E295" s="85" t="str">
        <f t="shared" si="3"/>
        <v>IX</v>
      </c>
      <c r="F295" s="84">
        <v>150700.0</v>
      </c>
    </row>
    <row r="296">
      <c r="A296" s="85" t="s">
        <v>741</v>
      </c>
      <c r="B296" s="85" t="s">
        <v>74</v>
      </c>
      <c r="C296" s="88" t="s">
        <v>181</v>
      </c>
      <c r="D296" s="88" t="s">
        <v>742</v>
      </c>
      <c r="E296" s="85" t="str">
        <f t="shared" si="3"/>
        <v>IX</v>
      </c>
      <c r="F296" s="84">
        <v>150700.0</v>
      </c>
    </row>
    <row r="297">
      <c r="A297" s="82" t="s">
        <v>743</v>
      </c>
      <c r="B297" s="85" t="s">
        <v>74</v>
      </c>
      <c r="C297" s="88" t="s">
        <v>181</v>
      </c>
      <c r="D297" s="90" t="s">
        <v>744</v>
      </c>
      <c r="E297" s="85" t="str">
        <f t="shared" si="3"/>
        <v>IX</v>
      </c>
      <c r="F297" s="84">
        <v>150700.0</v>
      </c>
    </row>
    <row r="298">
      <c r="A298" s="85" t="s">
        <v>745</v>
      </c>
      <c r="B298" s="85" t="s">
        <v>74</v>
      </c>
      <c r="C298" s="87" t="s">
        <v>181</v>
      </c>
      <c r="D298" s="87" t="s">
        <v>746</v>
      </c>
      <c r="E298" s="85" t="str">
        <f t="shared" si="3"/>
        <v>IX</v>
      </c>
      <c r="F298" s="84">
        <v>150700.0</v>
      </c>
    </row>
    <row r="299">
      <c r="A299" s="85" t="s">
        <v>747</v>
      </c>
      <c r="B299" s="85" t="s">
        <v>74</v>
      </c>
      <c r="C299" s="88" t="s">
        <v>337</v>
      </c>
      <c r="D299" s="88" t="s">
        <v>748</v>
      </c>
      <c r="E299" s="85" t="str">
        <f t="shared" si="3"/>
        <v>GP</v>
      </c>
      <c r="F299" s="84">
        <v>39100.0</v>
      </c>
    </row>
    <row r="300">
      <c r="A300" s="85" t="s">
        <v>749</v>
      </c>
      <c r="B300" s="85" t="s">
        <v>74</v>
      </c>
      <c r="C300" s="87" t="s">
        <v>334</v>
      </c>
      <c r="D300" s="87" t="s">
        <v>750</v>
      </c>
      <c r="E300" s="85" t="str">
        <f t="shared" si="3"/>
        <v>IX</v>
      </c>
      <c r="F300" s="84">
        <v>71700.0</v>
      </c>
    </row>
    <row r="301">
      <c r="A301" s="85" t="s">
        <v>751</v>
      </c>
      <c r="B301" s="85" t="s">
        <v>74</v>
      </c>
      <c r="C301" s="88" t="s">
        <v>334</v>
      </c>
      <c r="D301" s="88" t="s">
        <v>752</v>
      </c>
      <c r="E301" s="85" t="str">
        <f t="shared" si="3"/>
        <v>IX</v>
      </c>
      <c r="F301" s="84">
        <v>71700.0</v>
      </c>
    </row>
    <row r="302">
      <c r="A302" s="97" t="s">
        <v>21</v>
      </c>
      <c r="B302" s="95" t="s">
        <v>74</v>
      </c>
      <c r="C302" s="98" t="s">
        <v>334</v>
      </c>
      <c r="D302" s="99" t="s">
        <v>753</v>
      </c>
      <c r="E302" s="95" t="str">
        <f t="shared" si="3"/>
        <v>IX</v>
      </c>
      <c r="F302" s="84">
        <v>71700.0</v>
      </c>
    </row>
    <row r="303">
      <c r="A303" s="85" t="s">
        <v>754</v>
      </c>
      <c r="B303" s="85" t="s">
        <v>74</v>
      </c>
      <c r="C303" s="87" t="s">
        <v>337</v>
      </c>
      <c r="D303" s="87" t="s">
        <v>755</v>
      </c>
      <c r="E303" s="85" t="str">
        <f t="shared" si="3"/>
        <v>GP</v>
      </c>
      <c r="F303" s="84">
        <v>39100.0</v>
      </c>
    </row>
    <row r="304">
      <c r="A304" s="82" t="s">
        <v>756</v>
      </c>
      <c r="B304" s="83" t="s">
        <v>74</v>
      </c>
      <c r="C304" s="82" t="s">
        <v>181</v>
      </c>
      <c r="D304" s="82" t="s">
        <v>78</v>
      </c>
      <c r="E304" s="83" t="str">
        <f t="shared" si="3"/>
        <v>IX</v>
      </c>
      <c r="F304" s="3">
        <v>44400.0</v>
      </c>
    </row>
    <row r="305">
      <c r="A305" s="85" t="s">
        <v>757</v>
      </c>
      <c r="B305" s="85" t="s">
        <v>74</v>
      </c>
      <c r="C305" s="88" t="s">
        <v>337</v>
      </c>
      <c r="D305" s="88" t="s">
        <v>758</v>
      </c>
      <c r="E305" s="85" t="str">
        <f t="shared" si="3"/>
        <v>GP</v>
      </c>
      <c r="F305" s="1">
        <v>38000.0</v>
      </c>
    </row>
    <row r="306">
      <c r="A306" s="83" t="s">
        <v>759</v>
      </c>
      <c r="B306" s="85" t="s">
        <v>74</v>
      </c>
      <c r="C306" s="87" t="s">
        <v>334</v>
      </c>
      <c r="D306" s="87" t="s">
        <v>760</v>
      </c>
      <c r="E306" s="85" t="str">
        <f t="shared" si="3"/>
        <v>IX</v>
      </c>
      <c r="F306" s="84">
        <v>71700.0</v>
      </c>
    </row>
    <row r="307">
      <c r="A307" s="85" t="s">
        <v>761</v>
      </c>
      <c r="B307" s="85" t="s">
        <v>74</v>
      </c>
      <c r="C307" s="88" t="s">
        <v>337</v>
      </c>
      <c r="D307" s="88" t="s">
        <v>762</v>
      </c>
      <c r="E307" s="85" t="str">
        <f t="shared" si="3"/>
        <v>GP</v>
      </c>
      <c r="F307" s="84">
        <v>39100.0</v>
      </c>
    </row>
    <row r="308">
      <c r="A308" s="85" t="s">
        <v>763</v>
      </c>
      <c r="B308" s="85" t="s">
        <v>74</v>
      </c>
      <c r="C308" s="87" t="s">
        <v>337</v>
      </c>
      <c r="D308" s="87" t="s">
        <v>764</v>
      </c>
      <c r="E308" s="85" t="str">
        <f t="shared" si="3"/>
        <v>GP</v>
      </c>
      <c r="F308" s="84">
        <v>39100.0</v>
      </c>
    </row>
    <row r="309">
      <c r="A309" s="85" t="s">
        <v>765</v>
      </c>
      <c r="B309" s="85" t="s">
        <v>74</v>
      </c>
      <c r="C309" s="88" t="s">
        <v>337</v>
      </c>
      <c r="D309" s="88" t="s">
        <v>766</v>
      </c>
      <c r="E309" s="85" t="str">
        <f t="shared" si="3"/>
        <v>GP</v>
      </c>
      <c r="F309" s="84">
        <v>39100.0</v>
      </c>
    </row>
    <row r="310">
      <c r="A310" s="89" t="s">
        <v>767</v>
      </c>
      <c r="B310" s="85" t="s">
        <v>74</v>
      </c>
      <c r="C310" s="88" t="s">
        <v>337</v>
      </c>
      <c r="D310" s="90" t="s">
        <v>768</v>
      </c>
      <c r="E310" s="85" t="str">
        <f t="shared" si="3"/>
        <v>GP</v>
      </c>
      <c r="F310" s="84">
        <v>39100.0</v>
      </c>
    </row>
    <row r="311">
      <c r="A311" s="85" t="s">
        <v>769</v>
      </c>
      <c r="B311" s="85" t="s">
        <v>74</v>
      </c>
      <c r="C311" s="87" t="s">
        <v>334</v>
      </c>
      <c r="D311" s="91" t="s">
        <v>33</v>
      </c>
      <c r="E311" s="85" t="str">
        <f t="shared" si="3"/>
        <v>IX</v>
      </c>
      <c r="F311" s="84">
        <v>71700.0</v>
      </c>
    </row>
    <row r="312">
      <c r="A312" s="85" t="s">
        <v>770</v>
      </c>
      <c r="B312" s="85" t="s">
        <v>74</v>
      </c>
      <c r="C312" s="88" t="s">
        <v>535</v>
      </c>
      <c r="D312" s="88" t="s">
        <v>771</v>
      </c>
      <c r="E312" s="85" t="str">
        <f t="shared" si="3"/>
        <v>IX</v>
      </c>
      <c r="F312" s="84">
        <v>179500.0</v>
      </c>
    </row>
    <row r="313">
      <c r="A313" s="82" t="s">
        <v>772</v>
      </c>
      <c r="B313" s="82" t="s">
        <v>74</v>
      </c>
      <c r="C313" s="82" t="s">
        <v>337</v>
      </c>
      <c r="D313" s="82" t="s">
        <v>773</v>
      </c>
      <c r="E313" s="83" t="str">
        <f t="shared" si="3"/>
        <v>GP</v>
      </c>
      <c r="F313" s="84">
        <v>38000.0</v>
      </c>
    </row>
    <row r="314">
      <c r="A314" s="85" t="s">
        <v>774</v>
      </c>
      <c r="B314" s="85" t="s">
        <v>74</v>
      </c>
      <c r="C314" s="87" t="s">
        <v>334</v>
      </c>
      <c r="D314" s="87" t="s">
        <v>775</v>
      </c>
      <c r="E314" s="85" t="str">
        <f t="shared" si="3"/>
        <v>IX</v>
      </c>
      <c r="F314" s="84">
        <v>71700.0</v>
      </c>
    </row>
    <row r="315">
      <c r="A315" s="85" t="s">
        <v>776</v>
      </c>
      <c r="B315" s="85" t="s">
        <v>74</v>
      </c>
      <c r="C315" s="88" t="s">
        <v>181</v>
      </c>
      <c r="D315" s="88" t="s">
        <v>777</v>
      </c>
      <c r="E315" s="85" t="str">
        <f t="shared" si="3"/>
        <v>IX</v>
      </c>
      <c r="F315" s="84">
        <v>150700.0</v>
      </c>
    </row>
    <row r="316">
      <c r="A316" s="82" t="s">
        <v>778</v>
      </c>
      <c r="B316" s="85" t="s">
        <v>74</v>
      </c>
      <c r="C316" s="88" t="s">
        <v>181</v>
      </c>
      <c r="D316" s="90" t="s">
        <v>779</v>
      </c>
      <c r="E316" s="85" t="str">
        <f t="shared" si="3"/>
        <v>IX</v>
      </c>
      <c r="F316" s="84">
        <v>150700.0</v>
      </c>
    </row>
    <row r="317">
      <c r="A317" s="85" t="s">
        <v>780</v>
      </c>
      <c r="B317" s="85" t="s">
        <v>74</v>
      </c>
      <c r="C317" s="87" t="s">
        <v>181</v>
      </c>
      <c r="D317" s="87" t="s">
        <v>781</v>
      </c>
      <c r="E317" s="85" t="str">
        <f t="shared" si="3"/>
        <v>IX</v>
      </c>
      <c r="F317" s="84">
        <v>150700.0</v>
      </c>
    </row>
    <row r="318">
      <c r="A318" s="85" t="s">
        <v>782</v>
      </c>
      <c r="B318" s="85" t="s">
        <v>74</v>
      </c>
      <c r="C318" s="88" t="s">
        <v>181</v>
      </c>
      <c r="D318" s="88" t="s">
        <v>783</v>
      </c>
      <c r="E318" s="85" t="str">
        <f t="shared" si="3"/>
        <v>IX</v>
      </c>
      <c r="F318" s="84">
        <v>150700.0</v>
      </c>
    </row>
    <row r="319">
      <c r="A319" s="85" t="s">
        <v>784</v>
      </c>
      <c r="B319" s="85" t="s">
        <v>74</v>
      </c>
      <c r="C319" s="87" t="s">
        <v>535</v>
      </c>
      <c r="D319" s="87" t="s">
        <v>785</v>
      </c>
      <c r="E319" s="85" t="str">
        <f t="shared" si="3"/>
        <v>IX</v>
      </c>
      <c r="F319" s="84">
        <v>114500.0</v>
      </c>
    </row>
    <row r="320">
      <c r="A320" s="85" t="s">
        <v>786</v>
      </c>
      <c r="B320" s="85" t="s">
        <v>74</v>
      </c>
      <c r="C320" s="88" t="s">
        <v>535</v>
      </c>
      <c r="D320" s="88" t="s">
        <v>787</v>
      </c>
      <c r="E320" s="85" t="str">
        <f t="shared" si="3"/>
        <v>IX</v>
      </c>
      <c r="F320" s="84">
        <v>114500.0</v>
      </c>
    </row>
    <row r="321">
      <c r="A321" s="89" t="s">
        <v>788</v>
      </c>
      <c r="B321" s="85" t="s">
        <v>74</v>
      </c>
      <c r="C321" s="88" t="s">
        <v>535</v>
      </c>
      <c r="D321" s="90" t="s">
        <v>789</v>
      </c>
      <c r="E321" s="85" t="str">
        <f t="shared" si="3"/>
        <v>IX</v>
      </c>
      <c r="F321" s="84">
        <v>114500.0</v>
      </c>
    </row>
    <row r="322">
      <c r="A322" s="82" t="s">
        <v>790</v>
      </c>
      <c r="B322" s="85" t="s">
        <v>74</v>
      </c>
      <c r="C322" s="91" t="s">
        <v>334</v>
      </c>
      <c r="D322" s="91" t="s">
        <v>791</v>
      </c>
      <c r="E322" s="85" t="str">
        <f t="shared" si="3"/>
        <v>IX</v>
      </c>
      <c r="F322" s="84">
        <v>71700.0</v>
      </c>
    </row>
    <row r="323">
      <c r="A323" s="82" t="s">
        <v>792</v>
      </c>
      <c r="B323" s="85" t="s">
        <v>74</v>
      </c>
      <c r="C323" s="91" t="s">
        <v>334</v>
      </c>
      <c r="D323" s="91" t="s">
        <v>793</v>
      </c>
      <c r="E323" s="85" t="str">
        <f t="shared" si="3"/>
        <v>IX</v>
      </c>
      <c r="F323" s="84">
        <v>71700.0</v>
      </c>
    </row>
    <row r="324">
      <c r="A324" s="82" t="s">
        <v>794</v>
      </c>
      <c r="B324" s="83" t="s">
        <v>74</v>
      </c>
      <c r="C324" s="83" t="s">
        <v>535</v>
      </c>
      <c r="D324" s="82" t="s">
        <v>73</v>
      </c>
      <c r="E324" s="83" t="str">
        <f t="shared" si="3"/>
        <v>IX</v>
      </c>
      <c r="F324" s="92">
        <v>150700.0</v>
      </c>
    </row>
    <row r="325">
      <c r="A325" s="85" t="s">
        <v>795</v>
      </c>
      <c r="B325" s="85" t="s">
        <v>74</v>
      </c>
      <c r="C325" s="87" t="s">
        <v>535</v>
      </c>
      <c r="D325" s="87" t="s">
        <v>796</v>
      </c>
      <c r="E325" s="85" t="str">
        <f t="shared" si="3"/>
        <v>IX</v>
      </c>
      <c r="F325" s="84">
        <v>114500.0</v>
      </c>
    </row>
    <row r="326">
      <c r="A326" s="89" t="s">
        <v>797</v>
      </c>
      <c r="B326" s="89" t="s">
        <v>74</v>
      </c>
      <c r="C326" s="90" t="s">
        <v>535</v>
      </c>
      <c r="D326" s="90" t="s">
        <v>63</v>
      </c>
      <c r="E326" s="85" t="str">
        <f t="shared" si="3"/>
        <v>IX</v>
      </c>
      <c r="F326" s="1">
        <v>114500.0</v>
      </c>
    </row>
    <row r="327">
      <c r="A327" s="85" t="s">
        <v>798</v>
      </c>
      <c r="B327" s="85" t="s">
        <v>74</v>
      </c>
      <c r="C327" s="88" t="s">
        <v>330</v>
      </c>
      <c r="D327" s="88" t="s">
        <v>799</v>
      </c>
      <c r="E327" s="85" t="str">
        <f t="shared" si="3"/>
        <v>IX</v>
      </c>
      <c r="F327" s="1">
        <v>403000.0</v>
      </c>
    </row>
    <row r="328">
      <c r="A328" s="85" t="s">
        <v>800</v>
      </c>
      <c r="B328" s="85" t="s">
        <v>74</v>
      </c>
      <c r="C328" s="87" t="s">
        <v>330</v>
      </c>
      <c r="D328" s="87" t="s">
        <v>801</v>
      </c>
      <c r="E328" s="85" t="str">
        <f t="shared" si="3"/>
        <v>IX</v>
      </c>
      <c r="F328" s="1">
        <v>403000.0</v>
      </c>
    </row>
    <row r="329">
      <c r="A329" s="100" t="s">
        <v>802</v>
      </c>
      <c r="B329" s="85" t="s">
        <v>74</v>
      </c>
      <c r="C329" s="88" t="s">
        <v>330</v>
      </c>
      <c r="D329" s="88" t="s">
        <v>803</v>
      </c>
      <c r="E329" s="85" t="str">
        <f t="shared" si="3"/>
        <v>IX</v>
      </c>
      <c r="F329" s="1">
        <v>372000.0</v>
      </c>
    </row>
    <row r="330">
      <c r="A330" s="85" t="s">
        <v>804</v>
      </c>
      <c r="B330" s="85" t="s">
        <v>74</v>
      </c>
      <c r="C330" s="87" t="s">
        <v>181</v>
      </c>
      <c r="D330" s="87" t="s">
        <v>805</v>
      </c>
      <c r="E330" s="85" t="str">
        <f t="shared" si="3"/>
        <v>IX</v>
      </c>
      <c r="F330" s="1">
        <v>372000.0</v>
      </c>
    </row>
    <row r="331">
      <c r="A331" s="85" t="s">
        <v>806</v>
      </c>
      <c r="B331" s="85" t="s">
        <v>74</v>
      </c>
      <c r="C331" s="88" t="s">
        <v>181</v>
      </c>
      <c r="D331" s="82" t="s">
        <v>807</v>
      </c>
      <c r="E331" s="85" t="str">
        <f t="shared" si="3"/>
        <v>IX</v>
      </c>
      <c r="F331" s="84">
        <v>150700.0</v>
      </c>
    </row>
    <row r="332">
      <c r="A332" s="89" t="s">
        <v>808</v>
      </c>
      <c r="B332" s="89" t="s">
        <v>74</v>
      </c>
      <c r="C332" s="91" t="s">
        <v>181</v>
      </c>
      <c r="D332" s="91" t="s">
        <v>62</v>
      </c>
      <c r="E332" s="85" t="str">
        <f t="shared" si="3"/>
        <v>IX</v>
      </c>
      <c r="F332" s="6">
        <v>150700.0</v>
      </c>
    </row>
    <row r="333">
      <c r="A333" s="82" t="s">
        <v>809</v>
      </c>
      <c r="B333" s="82" t="s">
        <v>74</v>
      </c>
      <c r="C333" s="82" t="s">
        <v>181</v>
      </c>
      <c r="D333" s="82" t="s">
        <v>75</v>
      </c>
      <c r="E333" s="83" t="str">
        <f t="shared" si="3"/>
        <v>IX</v>
      </c>
      <c r="F333" s="92">
        <v>150700.0</v>
      </c>
    </row>
    <row r="334">
      <c r="A334" s="85" t="s">
        <v>810</v>
      </c>
      <c r="B334" s="85" t="s">
        <v>74</v>
      </c>
      <c r="C334" s="87" t="s">
        <v>181</v>
      </c>
      <c r="D334" s="87" t="s">
        <v>811</v>
      </c>
      <c r="E334" s="85" t="str">
        <f t="shared" si="3"/>
        <v>IX</v>
      </c>
      <c r="F334" s="84">
        <v>150700.0</v>
      </c>
    </row>
    <row r="335">
      <c r="A335" s="89" t="s">
        <v>812</v>
      </c>
      <c r="B335" s="85" t="s">
        <v>74</v>
      </c>
      <c r="C335" s="87" t="s">
        <v>181</v>
      </c>
      <c r="D335" s="91" t="s">
        <v>813</v>
      </c>
      <c r="E335" s="85" t="str">
        <f t="shared" si="3"/>
        <v>IX</v>
      </c>
      <c r="F335" s="84">
        <v>150700.0</v>
      </c>
    </row>
    <row r="336">
      <c r="A336" s="88" t="s">
        <v>814</v>
      </c>
      <c r="B336" s="85" t="s">
        <v>74</v>
      </c>
      <c r="C336" s="88" t="s">
        <v>181</v>
      </c>
      <c r="D336" s="88" t="s">
        <v>815</v>
      </c>
      <c r="E336" s="85" t="str">
        <f t="shared" si="3"/>
        <v>IX</v>
      </c>
      <c r="F336" s="84">
        <v>150700.0</v>
      </c>
    </row>
    <row r="337">
      <c r="A337" s="85" t="s">
        <v>816</v>
      </c>
      <c r="B337" s="85" t="s">
        <v>74</v>
      </c>
      <c r="C337" s="87" t="s">
        <v>181</v>
      </c>
      <c r="D337" s="87" t="s">
        <v>817</v>
      </c>
      <c r="E337" s="85" t="str">
        <f t="shared" si="3"/>
        <v>IX</v>
      </c>
      <c r="F337" s="84">
        <v>150700.0</v>
      </c>
    </row>
    <row r="338">
      <c r="A338" s="83" t="s">
        <v>818</v>
      </c>
      <c r="B338" s="85" t="s">
        <v>74</v>
      </c>
      <c r="C338" s="88" t="s">
        <v>181</v>
      </c>
      <c r="D338" s="88" t="s">
        <v>819</v>
      </c>
      <c r="E338" s="85" t="str">
        <f t="shared" si="3"/>
        <v>IX</v>
      </c>
      <c r="F338" s="1">
        <v>150700.0</v>
      </c>
    </row>
    <row r="339">
      <c r="A339" s="85" t="s">
        <v>820</v>
      </c>
      <c r="B339" s="85" t="s">
        <v>74</v>
      </c>
      <c r="C339" s="87" t="s">
        <v>181</v>
      </c>
      <c r="D339" s="87" t="s">
        <v>821</v>
      </c>
      <c r="E339" s="85" t="str">
        <f t="shared" si="3"/>
        <v>IX</v>
      </c>
      <c r="F339" s="84">
        <v>150700.0</v>
      </c>
    </row>
    <row r="340">
      <c r="A340" s="85" t="s">
        <v>822</v>
      </c>
      <c r="B340" s="85" t="s">
        <v>74</v>
      </c>
      <c r="C340" s="88" t="s">
        <v>181</v>
      </c>
      <c r="D340" s="88" t="s">
        <v>823</v>
      </c>
      <c r="E340" s="85" t="str">
        <f t="shared" si="3"/>
        <v>IX</v>
      </c>
      <c r="F340" s="84">
        <v>150700.0</v>
      </c>
    </row>
    <row r="341">
      <c r="A341" s="82" t="s">
        <v>824</v>
      </c>
      <c r="B341" s="85" t="s">
        <v>74</v>
      </c>
      <c r="C341" s="88" t="s">
        <v>181</v>
      </c>
      <c r="D341" s="90" t="s">
        <v>825</v>
      </c>
      <c r="E341" s="85" t="str">
        <f t="shared" si="3"/>
        <v>IX</v>
      </c>
      <c r="F341" s="84">
        <v>150700.0</v>
      </c>
    </row>
    <row r="342">
      <c r="A342" s="85" t="s">
        <v>826</v>
      </c>
      <c r="B342" s="85" t="s">
        <v>74</v>
      </c>
      <c r="C342" s="87" t="s">
        <v>181</v>
      </c>
      <c r="D342" s="87" t="s">
        <v>827</v>
      </c>
      <c r="E342" s="85" t="str">
        <f t="shared" si="3"/>
        <v>IX</v>
      </c>
      <c r="F342" s="84">
        <v>150700.0</v>
      </c>
    </row>
    <row r="343">
      <c r="A343" s="82" t="s">
        <v>52</v>
      </c>
      <c r="B343" s="85" t="s">
        <v>74</v>
      </c>
      <c r="C343" s="90" t="s">
        <v>337</v>
      </c>
      <c r="D343" s="90" t="s">
        <v>53</v>
      </c>
      <c r="E343" s="85" t="str">
        <f t="shared" si="3"/>
        <v>GP</v>
      </c>
      <c r="F343" s="84">
        <v>26800.0</v>
      </c>
    </row>
    <row r="344">
      <c r="A344" s="85" t="s">
        <v>828</v>
      </c>
      <c r="B344" s="85" t="s">
        <v>74</v>
      </c>
      <c r="C344" s="88" t="s">
        <v>337</v>
      </c>
      <c r="D344" s="88" t="s">
        <v>829</v>
      </c>
      <c r="E344" s="85" t="str">
        <f t="shared" si="3"/>
        <v>GP</v>
      </c>
      <c r="F344" s="84">
        <v>26800.0</v>
      </c>
    </row>
    <row r="345">
      <c r="A345" s="85" t="s">
        <v>830</v>
      </c>
      <c r="B345" s="85" t="s">
        <v>74</v>
      </c>
      <c r="C345" s="87" t="s">
        <v>334</v>
      </c>
      <c r="D345" s="87" t="s">
        <v>831</v>
      </c>
      <c r="E345" s="85" t="str">
        <f t="shared" si="3"/>
        <v>IX</v>
      </c>
      <c r="F345" s="84">
        <v>71700.0</v>
      </c>
    </row>
    <row r="346">
      <c r="A346" s="85" t="s">
        <v>832</v>
      </c>
      <c r="B346" s="85" t="s">
        <v>74</v>
      </c>
      <c r="C346" s="88" t="s">
        <v>337</v>
      </c>
      <c r="D346" s="88" t="s">
        <v>833</v>
      </c>
      <c r="E346" s="85" t="str">
        <f t="shared" si="3"/>
        <v>GP</v>
      </c>
      <c r="F346" s="84">
        <v>26800.0</v>
      </c>
    </row>
    <row r="347">
      <c r="A347" s="85" t="s">
        <v>834</v>
      </c>
      <c r="B347" s="85" t="s">
        <v>74</v>
      </c>
      <c r="C347" s="87" t="s">
        <v>337</v>
      </c>
      <c r="D347" s="87" t="s">
        <v>835</v>
      </c>
      <c r="E347" s="85" t="str">
        <f t="shared" si="3"/>
        <v>GP</v>
      </c>
      <c r="F347" s="84">
        <v>26800.0</v>
      </c>
    </row>
    <row r="348">
      <c r="A348" s="85" t="s">
        <v>836</v>
      </c>
      <c r="B348" s="85" t="s">
        <v>74</v>
      </c>
      <c r="C348" s="88" t="s">
        <v>334</v>
      </c>
      <c r="D348" s="88" t="s">
        <v>837</v>
      </c>
      <c r="E348" s="85" t="str">
        <f t="shared" si="3"/>
        <v>IX</v>
      </c>
      <c r="F348" s="84">
        <v>71700.0</v>
      </c>
    </row>
    <row r="349">
      <c r="A349" s="85" t="s">
        <v>838</v>
      </c>
      <c r="B349" s="85" t="s">
        <v>74</v>
      </c>
      <c r="C349" s="87" t="s">
        <v>337</v>
      </c>
      <c r="D349" s="87" t="s">
        <v>839</v>
      </c>
      <c r="E349" s="85" t="str">
        <f t="shared" si="3"/>
        <v>GP</v>
      </c>
      <c r="F349" s="84">
        <v>26800.0</v>
      </c>
    </row>
    <row r="350">
      <c r="A350" s="85" t="s">
        <v>840</v>
      </c>
      <c r="B350" s="85" t="s">
        <v>74</v>
      </c>
      <c r="C350" s="88" t="s">
        <v>334</v>
      </c>
      <c r="D350" s="88" t="s">
        <v>841</v>
      </c>
      <c r="E350" s="85" t="str">
        <f t="shared" si="3"/>
        <v>IX</v>
      </c>
      <c r="F350" s="84">
        <v>71700.0</v>
      </c>
    </row>
    <row r="351">
      <c r="A351" s="85" t="s">
        <v>842</v>
      </c>
      <c r="B351" s="85" t="s">
        <v>74</v>
      </c>
      <c r="C351" s="87" t="s">
        <v>330</v>
      </c>
      <c r="D351" s="87" t="s">
        <v>843</v>
      </c>
      <c r="E351" s="85" t="str">
        <f t="shared" si="3"/>
        <v>IX</v>
      </c>
      <c r="F351" s="1">
        <v>372000.0</v>
      </c>
    </row>
    <row r="352">
      <c r="A352" s="85" t="s">
        <v>844</v>
      </c>
      <c r="B352" s="85" t="s">
        <v>74</v>
      </c>
      <c r="C352" s="88" t="s">
        <v>330</v>
      </c>
      <c r="D352" s="88" t="s">
        <v>845</v>
      </c>
      <c r="E352" s="85" t="str">
        <f t="shared" si="3"/>
        <v>IX</v>
      </c>
      <c r="F352" s="1">
        <v>372000.0</v>
      </c>
    </row>
    <row r="353">
      <c r="A353" s="85" t="s">
        <v>846</v>
      </c>
      <c r="B353" s="85" t="s">
        <v>74</v>
      </c>
      <c r="C353" s="87" t="s">
        <v>330</v>
      </c>
      <c r="D353" s="87" t="s">
        <v>847</v>
      </c>
      <c r="E353" s="85" t="str">
        <f t="shared" si="3"/>
        <v>IX</v>
      </c>
      <c r="F353" s="1">
        <v>372000.0</v>
      </c>
    </row>
    <row r="354">
      <c r="A354" s="85" t="s">
        <v>848</v>
      </c>
      <c r="B354" s="85" t="s">
        <v>74</v>
      </c>
      <c r="C354" s="88" t="s">
        <v>330</v>
      </c>
      <c r="D354" s="88" t="s">
        <v>849</v>
      </c>
      <c r="E354" s="85" t="str">
        <f t="shared" si="3"/>
        <v>IX</v>
      </c>
      <c r="F354" s="1">
        <v>372000.0</v>
      </c>
    </row>
    <row r="355">
      <c r="A355" s="85" t="s">
        <v>850</v>
      </c>
      <c r="B355" s="85" t="s">
        <v>74</v>
      </c>
      <c r="C355" s="87" t="s">
        <v>330</v>
      </c>
      <c r="D355" s="87" t="s">
        <v>851</v>
      </c>
      <c r="E355" s="85" t="str">
        <f t="shared" si="3"/>
        <v>IX</v>
      </c>
      <c r="F355" s="1">
        <v>372000.0</v>
      </c>
    </row>
    <row r="356">
      <c r="A356" s="85" t="s">
        <v>852</v>
      </c>
      <c r="B356" s="85" t="s">
        <v>74</v>
      </c>
      <c r="C356" s="88" t="s">
        <v>330</v>
      </c>
      <c r="D356" s="88" t="s">
        <v>853</v>
      </c>
      <c r="E356" s="85" t="str">
        <f t="shared" si="3"/>
        <v>IX</v>
      </c>
      <c r="F356" s="1">
        <v>504000.0</v>
      </c>
    </row>
    <row r="357">
      <c r="A357" s="85" t="s">
        <v>854</v>
      </c>
      <c r="B357" s="85" t="s">
        <v>74</v>
      </c>
      <c r="C357" s="87" t="s">
        <v>330</v>
      </c>
      <c r="D357" s="87" t="s">
        <v>855</v>
      </c>
      <c r="E357" s="85" t="str">
        <f t="shared" si="3"/>
        <v>IX</v>
      </c>
      <c r="F357" s="1">
        <v>504000.0</v>
      </c>
    </row>
    <row r="358">
      <c r="A358" s="85" t="s">
        <v>856</v>
      </c>
      <c r="B358" s="85" t="s">
        <v>74</v>
      </c>
      <c r="C358" s="88" t="s">
        <v>181</v>
      </c>
      <c r="D358" s="88" t="s">
        <v>857</v>
      </c>
      <c r="E358" s="85" t="str">
        <f t="shared" si="3"/>
        <v>IX</v>
      </c>
      <c r="F358" s="84">
        <v>623500.0</v>
      </c>
    </row>
    <row r="359">
      <c r="A359" s="83" t="s">
        <v>858</v>
      </c>
      <c r="B359" s="85" t="s">
        <v>74</v>
      </c>
      <c r="C359" s="87" t="s">
        <v>181</v>
      </c>
      <c r="D359" s="82" t="s">
        <v>26</v>
      </c>
      <c r="E359" s="85" t="str">
        <f t="shared" si="3"/>
        <v>IX</v>
      </c>
      <c r="F359" s="84">
        <v>150700.0</v>
      </c>
    </row>
    <row r="360">
      <c r="A360" s="83" t="s">
        <v>859</v>
      </c>
      <c r="B360" s="85" t="s">
        <v>74</v>
      </c>
      <c r="C360" s="88" t="s">
        <v>181</v>
      </c>
      <c r="D360" s="88" t="s">
        <v>860</v>
      </c>
      <c r="E360" s="85" t="str">
        <f t="shared" si="3"/>
        <v>IX</v>
      </c>
      <c r="F360" s="1">
        <v>150700.0</v>
      </c>
    </row>
    <row r="361">
      <c r="A361" s="83" t="s">
        <v>861</v>
      </c>
      <c r="B361" s="85" t="s">
        <v>74</v>
      </c>
      <c r="C361" s="87" t="s">
        <v>181</v>
      </c>
      <c r="D361" s="82" t="s">
        <v>862</v>
      </c>
      <c r="E361" s="85" t="str">
        <f t="shared" si="3"/>
        <v>IX</v>
      </c>
      <c r="F361" s="84">
        <v>246200.0</v>
      </c>
    </row>
    <row r="362">
      <c r="A362" s="83" t="s">
        <v>863</v>
      </c>
      <c r="B362" s="85" t="s">
        <v>74</v>
      </c>
      <c r="C362" s="88" t="s">
        <v>334</v>
      </c>
      <c r="D362" s="82" t="s">
        <v>31</v>
      </c>
      <c r="E362" s="85" t="str">
        <f t="shared" si="3"/>
        <v>IX</v>
      </c>
      <c r="F362" s="1">
        <v>71700.0</v>
      </c>
    </row>
    <row r="363">
      <c r="A363" s="85" t="s">
        <v>864</v>
      </c>
      <c r="B363" s="85" t="s">
        <v>865</v>
      </c>
      <c r="C363" s="87" t="s">
        <v>865</v>
      </c>
      <c r="D363" s="87" t="s">
        <v>866</v>
      </c>
      <c r="E363" s="85" t="str">
        <f t="shared" si="3"/>
        <v>NONE</v>
      </c>
      <c r="F363" s="1">
        <v>400.0</v>
      </c>
    </row>
    <row r="364">
      <c r="A364" s="85" t="s">
        <v>867</v>
      </c>
      <c r="B364" s="85" t="s">
        <v>868</v>
      </c>
      <c r="C364" s="88" t="s">
        <v>865</v>
      </c>
      <c r="D364" s="88" t="s">
        <v>869</v>
      </c>
      <c r="E364" s="85" t="str">
        <f t="shared" si="3"/>
        <v>NONE</v>
      </c>
      <c r="F364" s="78" t="e">
        <v>#N/A</v>
      </c>
    </row>
    <row r="365">
      <c r="A365" s="85" t="s">
        <v>870</v>
      </c>
      <c r="B365" s="85" t="s">
        <v>868</v>
      </c>
      <c r="C365" s="87" t="s">
        <v>865</v>
      </c>
      <c r="D365" s="87" t="s">
        <v>871</v>
      </c>
      <c r="E365" s="85" t="str">
        <f t="shared" si="3"/>
        <v>NONE</v>
      </c>
      <c r="F365" s="78" t="e">
        <v>#N/A</v>
      </c>
    </row>
    <row r="366">
      <c r="A366" s="85" t="s">
        <v>872</v>
      </c>
      <c r="B366" s="85" t="s">
        <v>868</v>
      </c>
      <c r="C366" s="88" t="s">
        <v>865</v>
      </c>
      <c r="D366" s="88" t="s">
        <v>873</v>
      </c>
      <c r="E366" s="85" t="str">
        <f t="shared" si="3"/>
        <v>NONE</v>
      </c>
      <c r="F366" s="78" t="e">
        <v>#N/A</v>
      </c>
    </row>
    <row r="367">
      <c r="A367" s="85" t="s">
        <v>874</v>
      </c>
      <c r="B367" s="85" t="s">
        <v>868</v>
      </c>
      <c r="C367" s="87" t="s">
        <v>865</v>
      </c>
      <c r="D367" s="87" t="s">
        <v>875</v>
      </c>
      <c r="E367" s="85" t="str">
        <f t="shared" si="3"/>
        <v>NONE</v>
      </c>
      <c r="F367" s="78" t="e">
        <v>#N/A</v>
      </c>
    </row>
    <row r="368">
      <c r="A368" s="85" t="s">
        <v>876</v>
      </c>
      <c r="B368" s="85" t="s">
        <v>868</v>
      </c>
      <c r="C368" s="88" t="s">
        <v>865</v>
      </c>
      <c r="D368" s="88" t="s">
        <v>877</v>
      </c>
      <c r="E368" s="85" t="str">
        <f t="shared" si="3"/>
        <v>NONE</v>
      </c>
      <c r="F368" s="78" t="e">
        <v>#N/A</v>
      </c>
    </row>
    <row r="369">
      <c r="A369" s="85" t="s">
        <v>878</v>
      </c>
      <c r="B369" s="85" t="s">
        <v>868</v>
      </c>
      <c r="C369" s="87" t="s">
        <v>865</v>
      </c>
      <c r="D369" s="87" t="s">
        <v>879</v>
      </c>
      <c r="E369" s="85" t="str">
        <f t="shared" si="3"/>
        <v>NONE</v>
      </c>
      <c r="F369" s="78" t="e">
        <v>#N/A</v>
      </c>
    </row>
    <row r="370">
      <c r="A370" s="85" t="s">
        <v>880</v>
      </c>
      <c r="B370" s="85" t="s">
        <v>868</v>
      </c>
      <c r="C370" s="88" t="s">
        <v>865</v>
      </c>
      <c r="D370" s="88" t="s">
        <v>881</v>
      </c>
      <c r="E370" s="85" t="str">
        <f t="shared" si="3"/>
        <v>NONE</v>
      </c>
      <c r="F370" s="78" t="e">
        <v>#N/A</v>
      </c>
    </row>
    <row r="371">
      <c r="A371" s="85" t="s">
        <v>882</v>
      </c>
      <c r="B371" s="85" t="s">
        <v>868</v>
      </c>
      <c r="C371" s="87" t="s">
        <v>865</v>
      </c>
      <c r="D371" s="87" t="s">
        <v>883</v>
      </c>
      <c r="E371" s="85" t="str">
        <f t="shared" si="3"/>
        <v>NONE</v>
      </c>
      <c r="F371" s="78" t="e">
        <v>#N/A</v>
      </c>
    </row>
    <row r="372">
      <c r="A372" s="85" t="s">
        <v>884</v>
      </c>
      <c r="B372" s="85" t="s">
        <v>868</v>
      </c>
      <c r="C372" s="88" t="s">
        <v>865</v>
      </c>
      <c r="D372" s="88" t="s">
        <v>885</v>
      </c>
      <c r="E372" s="85" t="str">
        <f t="shared" si="3"/>
        <v>NONE</v>
      </c>
      <c r="F372" s="78" t="e">
        <v>#N/A</v>
      </c>
    </row>
    <row r="373">
      <c r="A373" s="85" t="s">
        <v>886</v>
      </c>
      <c r="B373" s="85" t="s">
        <v>868</v>
      </c>
      <c r="C373" s="87" t="s">
        <v>865</v>
      </c>
      <c r="D373" s="87" t="s">
        <v>887</v>
      </c>
      <c r="E373" s="85" t="str">
        <f t="shared" si="3"/>
        <v>NONE</v>
      </c>
      <c r="F373" s="78" t="e">
        <v>#N/A</v>
      </c>
    </row>
    <row r="374">
      <c r="A374" s="85" t="s">
        <v>888</v>
      </c>
      <c r="B374" s="85" t="s">
        <v>868</v>
      </c>
      <c r="C374" s="88" t="s">
        <v>865</v>
      </c>
      <c r="D374" s="88" t="s">
        <v>889</v>
      </c>
      <c r="E374" s="85" t="str">
        <f t="shared" si="3"/>
        <v>NONE</v>
      </c>
      <c r="F374" s="78" t="e">
        <v>#N/A</v>
      </c>
    </row>
    <row r="375">
      <c r="A375" s="85" t="s">
        <v>890</v>
      </c>
      <c r="B375" s="85" t="s">
        <v>868</v>
      </c>
      <c r="C375" s="87" t="s">
        <v>865</v>
      </c>
      <c r="D375" s="87" t="s">
        <v>891</v>
      </c>
      <c r="E375" s="85" t="str">
        <f t="shared" si="3"/>
        <v>NONE</v>
      </c>
      <c r="F375" s="78" t="e">
        <v>#N/A</v>
      </c>
    </row>
    <row r="376">
      <c r="A376" s="85" t="s">
        <v>892</v>
      </c>
      <c r="B376" s="85" t="s">
        <v>868</v>
      </c>
      <c r="C376" s="88" t="s">
        <v>865</v>
      </c>
      <c r="D376" s="88" t="s">
        <v>893</v>
      </c>
      <c r="E376" s="85" t="str">
        <f t="shared" si="3"/>
        <v>NONE</v>
      </c>
      <c r="F376" s="78" t="e">
        <v>#N/A</v>
      </c>
    </row>
    <row r="377">
      <c r="A377" s="85" t="s">
        <v>894</v>
      </c>
      <c r="B377" s="85" t="s">
        <v>868</v>
      </c>
      <c r="C377" s="87" t="s">
        <v>865</v>
      </c>
      <c r="D377" s="87" t="s">
        <v>895</v>
      </c>
      <c r="E377" s="85" t="str">
        <f t="shared" si="3"/>
        <v>NONE</v>
      </c>
      <c r="F377" s="78" t="e">
        <v>#N/A</v>
      </c>
    </row>
    <row r="378">
      <c r="A378" s="85" t="s">
        <v>896</v>
      </c>
      <c r="B378" s="85" t="s">
        <v>868</v>
      </c>
      <c r="C378" s="88" t="s">
        <v>865</v>
      </c>
      <c r="D378" s="88" t="s">
        <v>897</v>
      </c>
      <c r="E378" s="85" t="str">
        <f t="shared" si="3"/>
        <v>NONE</v>
      </c>
      <c r="F378" s="78" t="e">
        <v>#N/A</v>
      </c>
    </row>
    <row r="379">
      <c r="A379" s="85" t="s">
        <v>898</v>
      </c>
      <c r="B379" s="85" t="s">
        <v>868</v>
      </c>
      <c r="C379" s="87" t="s">
        <v>865</v>
      </c>
      <c r="D379" s="87" t="s">
        <v>899</v>
      </c>
      <c r="E379" s="85" t="str">
        <f t="shared" si="3"/>
        <v>NONE</v>
      </c>
      <c r="F379" s="78" t="e">
        <v>#N/A</v>
      </c>
    </row>
    <row r="380">
      <c r="A380" s="85" t="s">
        <v>900</v>
      </c>
      <c r="B380" s="85" t="s">
        <v>868</v>
      </c>
      <c r="C380" s="88" t="s">
        <v>865</v>
      </c>
      <c r="D380" s="88" t="s">
        <v>901</v>
      </c>
      <c r="E380" s="85" t="str">
        <f t="shared" si="3"/>
        <v>NONE</v>
      </c>
      <c r="F380" s="78" t="e">
        <v>#N/A</v>
      </c>
    </row>
    <row r="381">
      <c r="A381" s="101" t="s">
        <v>902</v>
      </c>
      <c r="B381" s="1" t="s">
        <v>903</v>
      </c>
      <c r="C381" s="1" t="s">
        <v>865</v>
      </c>
      <c r="D381" s="1" t="s">
        <v>904</v>
      </c>
      <c r="E381" s="89" t="s">
        <v>865</v>
      </c>
      <c r="F381" s="1">
        <v>141000.0</v>
      </c>
    </row>
    <row r="382">
      <c r="A382" s="101" t="s">
        <v>905</v>
      </c>
      <c r="B382" s="1" t="s">
        <v>903</v>
      </c>
      <c r="C382" s="1" t="s">
        <v>865</v>
      </c>
      <c r="D382" s="1" t="s">
        <v>906</v>
      </c>
      <c r="E382" s="89" t="s">
        <v>865</v>
      </c>
      <c r="F382" s="1">
        <v>117000.0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0"/>
  </cols>
  <sheetData>
    <row r="1">
      <c r="A1" s="102" t="s">
        <v>907</v>
      </c>
      <c r="B1" s="103" t="s">
        <v>908</v>
      </c>
      <c r="C1" s="102" t="s">
        <v>909</v>
      </c>
      <c r="D1" s="104" t="s">
        <v>910</v>
      </c>
    </row>
    <row r="2">
      <c r="A2" s="39"/>
      <c r="B2" s="42"/>
      <c r="C2" s="39"/>
      <c r="D2" s="105" t="s">
        <v>911</v>
      </c>
    </row>
    <row r="3">
      <c r="A3" s="106" t="s">
        <v>912</v>
      </c>
      <c r="B3" s="107" t="s">
        <v>314</v>
      </c>
      <c r="C3" s="108" t="s">
        <v>913</v>
      </c>
      <c r="D3" s="109">
        <v>37000.0</v>
      </c>
    </row>
    <row r="4">
      <c r="A4" s="110" t="s">
        <v>912</v>
      </c>
      <c r="B4" s="111" t="s">
        <v>314</v>
      </c>
      <c r="C4" s="112" t="s">
        <v>914</v>
      </c>
      <c r="D4" s="113">
        <v>37000.0</v>
      </c>
    </row>
    <row r="5">
      <c r="A5" s="110" t="s">
        <v>912</v>
      </c>
      <c r="B5" s="111" t="s">
        <v>314</v>
      </c>
      <c r="C5" s="112" t="s">
        <v>188</v>
      </c>
      <c r="D5" s="113">
        <v>15900.0</v>
      </c>
    </row>
    <row r="6">
      <c r="A6" s="110" t="s">
        <v>912</v>
      </c>
      <c r="B6" s="111" t="s">
        <v>314</v>
      </c>
      <c r="C6" s="112" t="s">
        <v>192</v>
      </c>
      <c r="D6" s="113">
        <v>15900.0</v>
      </c>
    </row>
    <row r="7">
      <c r="A7" s="110" t="s">
        <v>912</v>
      </c>
      <c r="B7" s="111" t="s">
        <v>314</v>
      </c>
      <c r="C7" s="112" t="s">
        <v>190</v>
      </c>
      <c r="D7" s="113">
        <v>14200.0</v>
      </c>
    </row>
    <row r="8">
      <c r="A8" s="110" t="s">
        <v>912</v>
      </c>
      <c r="B8" s="111" t="s">
        <v>314</v>
      </c>
      <c r="C8" s="112" t="s">
        <v>194</v>
      </c>
      <c r="D8" s="113">
        <v>15900.0</v>
      </c>
    </row>
    <row r="9">
      <c r="A9" s="110" t="s">
        <v>912</v>
      </c>
      <c r="B9" s="111" t="s">
        <v>314</v>
      </c>
      <c r="C9" s="112" t="s">
        <v>198</v>
      </c>
      <c r="D9" s="113">
        <v>15900.0</v>
      </c>
    </row>
    <row r="10">
      <c r="A10" s="110" t="s">
        <v>912</v>
      </c>
      <c r="B10" s="111" t="s">
        <v>314</v>
      </c>
      <c r="C10" s="112" t="s">
        <v>196</v>
      </c>
      <c r="D10" s="113">
        <v>15900.0</v>
      </c>
    </row>
    <row r="11">
      <c r="A11" s="110" t="s">
        <v>912</v>
      </c>
      <c r="B11" s="111" t="s">
        <v>314</v>
      </c>
      <c r="C11" s="112" t="s">
        <v>200</v>
      </c>
      <c r="D11" s="113">
        <v>37000.0</v>
      </c>
    </row>
    <row r="12">
      <c r="A12" s="110" t="s">
        <v>912</v>
      </c>
      <c r="B12" s="111" t="s">
        <v>314</v>
      </c>
      <c r="C12" s="112" t="s">
        <v>204</v>
      </c>
      <c r="D12" s="113">
        <v>15900.0</v>
      </c>
    </row>
    <row r="13">
      <c r="A13" s="110" t="s">
        <v>912</v>
      </c>
      <c r="B13" s="111" t="s">
        <v>314</v>
      </c>
      <c r="C13" s="112" t="s">
        <v>915</v>
      </c>
      <c r="D13" s="113">
        <v>37000.0</v>
      </c>
    </row>
    <row r="14">
      <c r="A14" s="110" t="s">
        <v>912</v>
      </c>
      <c r="B14" s="111" t="s">
        <v>314</v>
      </c>
      <c r="C14" s="112" t="s">
        <v>916</v>
      </c>
      <c r="D14" s="113">
        <v>37000.0</v>
      </c>
    </row>
    <row r="15">
      <c r="A15" s="110" t="s">
        <v>912</v>
      </c>
      <c r="B15" s="111" t="s">
        <v>314</v>
      </c>
      <c r="C15" s="112" t="s">
        <v>917</v>
      </c>
      <c r="D15" s="113">
        <v>34600.0</v>
      </c>
    </row>
    <row r="16">
      <c r="A16" s="110" t="s">
        <v>912</v>
      </c>
      <c r="B16" s="111" t="s">
        <v>314</v>
      </c>
      <c r="C16" s="112" t="s">
        <v>206</v>
      </c>
      <c r="D16" s="113">
        <v>15900.0</v>
      </c>
    </row>
    <row r="17">
      <c r="A17" s="110" t="s">
        <v>912</v>
      </c>
      <c r="B17" s="111" t="s">
        <v>314</v>
      </c>
      <c r="C17" s="112" t="s">
        <v>208</v>
      </c>
      <c r="D17" s="113">
        <v>15900.0</v>
      </c>
    </row>
    <row r="18">
      <c r="A18" s="110" t="s">
        <v>912</v>
      </c>
      <c r="B18" s="111" t="s">
        <v>314</v>
      </c>
      <c r="C18" s="112" t="s">
        <v>210</v>
      </c>
      <c r="D18" s="113">
        <v>15900.0</v>
      </c>
    </row>
    <row r="19">
      <c r="A19" s="110" t="s">
        <v>912</v>
      </c>
      <c r="B19" s="111" t="s">
        <v>314</v>
      </c>
      <c r="C19" s="114" t="s">
        <v>212</v>
      </c>
      <c r="D19" s="113">
        <v>15900.0</v>
      </c>
    </row>
    <row r="20">
      <c r="A20" s="110" t="s">
        <v>912</v>
      </c>
      <c r="B20" s="111" t="s">
        <v>314</v>
      </c>
      <c r="C20" s="112" t="s">
        <v>216</v>
      </c>
      <c r="D20" s="113">
        <v>13100.0</v>
      </c>
    </row>
    <row r="21">
      <c r="A21" s="110" t="s">
        <v>912</v>
      </c>
      <c r="B21" s="111" t="s">
        <v>314</v>
      </c>
      <c r="C21" s="112" t="s">
        <v>214</v>
      </c>
      <c r="D21" s="113">
        <v>14200.0</v>
      </c>
    </row>
    <row r="22">
      <c r="A22" s="110" t="s">
        <v>912</v>
      </c>
      <c r="B22" s="111" t="s">
        <v>314</v>
      </c>
      <c r="C22" s="112" t="s">
        <v>218</v>
      </c>
      <c r="D22" s="113">
        <v>14200.0</v>
      </c>
    </row>
    <row r="23">
      <c r="A23" s="110" t="s">
        <v>912</v>
      </c>
      <c r="B23" s="111" t="s">
        <v>314</v>
      </c>
      <c r="C23" s="112" t="s">
        <v>222</v>
      </c>
      <c r="D23" s="113">
        <v>15900.0</v>
      </c>
    </row>
    <row r="24">
      <c r="A24" s="110" t="s">
        <v>912</v>
      </c>
      <c r="B24" s="111" t="s">
        <v>314</v>
      </c>
      <c r="C24" s="112" t="s">
        <v>220</v>
      </c>
      <c r="D24" s="113">
        <v>14200.0</v>
      </c>
    </row>
    <row r="25">
      <c r="A25" s="110" t="s">
        <v>912</v>
      </c>
      <c r="B25" s="111" t="s">
        <v>314</v>
      </c>
      <c r="C25" s="112" t="s">
        <v>224</v>
      </c>
      <c r="D25" s="113">
        <v>12900.0</v>
      </c>
    </row>
    <row r="26">
      <c r="A26" s="110" t="s">
        <v>912</v>
      </c>
      <c r="B26" s="111" t="s">
        <v>314</v>
      </c>
      <c r="C26" s="112" t="s">
        <v>918</v>
      </c>
      <c r="D26" s="113">
        <v>43750.0</v>
      </c>
    </row>
    <row r="27">
      <c r="A27" s="110" t="s">
        <v>912</v>
      </c>
      <c r="B27" s="111" t="s">
        <v>314</v>
      </c>
      <c r="C27" s="112" t="s">
        <v>919</v>
      </c>
      <c r="D27" s="113">
        <v>43750.0</v>
      </c>
    </row>
    <row r="28">
      <c r="A28" s="110" t="s">
        <v>912</v>
      </c>
      <c r="B28" s="111" t="s">
        <v>314</v>
      </c>
      <c r="C28" s="112" t="s">
        <v>920</v>
      </c>
      <c r="D28" s="113">
        <v>43750.0</v>
      </c>
    </row>
    <row r="29">
      <c r="A29" s="110" t="s">
        <v>912</v>
      </c>
      <c r="B29" s="111" t="s">
        <v>314</v>
      </c>
      <c r="C29" s="112" t="s">
        <v>226</v>
      </c>
      <c r="D29" s="113">
        <v>43750.0</v>
      </c>
    </row>
    <row r="30">
      <c r="A30" s="110" t="s">
        <v>912</v>
      </c>
      <c r="B30" s="111" t="s">
        <v>314</v>
      </c>
      <c r="C30" s="112" t="s">
        <v>921</v>
      </c>
      <c r="D30" s="113">
        <v>34600.0</v>
      </c>
    </row>
    <row r="31">
      <c r="A31" s="110" t="s">
        <v>912</v>
      </c>
      <c r="B31" s="111" t="s">
        <v>314</v>
      </c>
      <c r="C31" s="112" t="s">
        <v>922</v>
      </c>
      <c r="D31" s="113">
        <v>34600.0</v>
      </c>
    </row>
    <row r="32">
      <c r="A32" s="110" t="s">
        <v>912</v>
      </c>
      <c r="B32" s="111" t="s">
        <v>314</v>
      </c>
      <c r="C32" s="112" t="s">
        <v>228</v>
      </c>
      <c r="D32" s="113">
        <v>14200.0</v>
      </c>
    </row>
    <row r="33">
      <c r="A33" s="110" t="s">
        <v>912</v>
      </c>
      <c r="B33" s="111" t="s">
        <v>923</v>
      </c>
      <c r="C33" s="112" t="s">
        <v>924</v>
      </c>
      <c r="D33" s="113">
        <v>34600.0</v>
      </c>
    </row>
    <row r="34">
      <c r="A34" s="110" t="s">
        <v>912</v>
      </c>
      <c r="B34" s="111" t="s">
        <v>923</v>
      </c>
      <c r="C34" s="112" t="s">
        <v>925</v>
      </c>
      <c r="D34" s="113">
        <v>34600.0</v>
      </c>
    </row>
    <row r="35">
      <c r="A35" s="110" t="s">
        <v>912</v>
      </c>
      <c r="B35" s="111" t="s">
        <v>314</v>
      </c>
      <c r="C35" s="112" t="s">
        <v>230</v>
      </c>
      <c r="D35" s="113">
        <v>34600.0</v>
      </c>
    </row>
    <row r="36">
      <c r="A36" s="110" t="s">
        <v>912</v>
      </c>
      <c r="B36" s="111" t="s">
        <v>314</v>
      </c>
      <c r="C36" s="112" t="s">
        <v>926</v>
      </c>
      <c r="D36" s="113">
        <v>34600.0</v>
      </c>
    </row>
    <row r="37">
      <c r="A37" s="110" t="s">
        <v>912</v>
      </c>
      <c r="B37" s="111" t="s">
        <v>314</v>
      </c>
      <c r="C37" s="112" t="s">
        <v>927</v>
      </c>
      <c r="D37" s="113">
        <v>34600.0</v>
      </c>
    </row>
    <row r="38">
      <c r="A38" s="110" t="s">
        <v>912</v>
      </c>
      <c r="B38" s="111" t="s">
        <v>314</v>
      </c>
      <c r="C38" s="112" t="s">
        <v>928</v>
      </c>
      <c r="D38" s="113">
        <v>53000.0</v>
      </c>
    </row>
    <row r="39">
      <c r="A39" s="110" t="s">
        <v>912</v>
      </c>
      <c r="B39" s="111" t="s">
        <v>314</v>
      </c>
      <c r="C39" s="112" t="s">
        <v>232</v>
      </c>
      <c r="D39" s="113">
        <v>34600.0</v>
      </c>
    </row>
    <row r="40">
      <c r="A40" s="110" t="s">
        <v>912</v>
      </c>
      <c r="B40" s="111" t="s">
        <v>314</v>
      </c>
      <c r="C40" s="112" t="s">
        <v>929</v>
      </c>
      <c r="D40" s="113">
        <v>34600.0</v>
      </c>
    </row>
    <row r="41">
      <c r="A41" s="110" t="s">
        <v>912</v>
      </c>
      <c r="B41" s="111" t="s">
        <v>314</v>
      </c>
      <c r="C41" s="112" t="s">
        <v>930</v>
      </c>
      <c r="D41" s="113">
        <v>34600.0</v>
      </c>
    </row>
    <row r="42">
      <c r="A42" s="110" t="s">
        <v>912</v>
      </c>
      <c r="B42" s="111" t="s">
        <v>314</v>
      </c>
      <c r="C42" s="112" t="s">
        <v>365</v>
      </c>
      <c r="D42" s="113">
        <v>34600.0</v>
      </c>
    </row>
    <row r="43">
      <c r="A43" s="110" t="s">
        <v>912</v>
      </c>
      <c r="B43" s="111" t="s">
        <v>314</v>
      </c>
      <c r="C43" s="112" t="s">
        <v>931</v>
      </c>
      <c r="D43" s="113">
        <v>34600.0</v>
      </c>
    </row>
    <row r="44">
      <c r="A44" s="110" t="s">
        <v>912</v>
      </c>
      <c r="B44" s="111" t="s">
        <v>314</v>
      </c>
      <c r="C44" s="112" t="s">
        <v>932</v>
      </c>
      <c r="D44" s="113">
        <v>34600.0</v>
      </c>
    </row>
    <row r="45">
      <c r="A45" s="110" t="s">
        <v>912</v>
      </c>
      <c r="B45" s="111" t="s">
        <v>314</v>
      </c>
      <c r="C45" s="112" t="s">
        <v>234</v>
      </c>
      <c r="D45" s="113">
        <v>12900.0</v>
      </c>
    </row>
    <row r="46">
      <c r="A46" s="110" t="s">
        <v>912</v>
      </c>
      <c r="B46" s="111" t="s">
        <v>314</v>
      </c>
      <c r="C46" s="115" t="s">
        <v>240</v>
      </c>
      <c r="D46" s="113">
        <v>12900.0</v>
      </c>
    </row>
    <row r="47">
      <c r="A47" s="110" t="s">
        <v>912</v>
      </c>
      <c r="B47" s="111" t="s">
        <v>314</v>
      </c>
      <c r="C47" s="112" t="s">
        <v>933</v>
      </c>
      <c r="D47" s="113">
        <v>49000.0</v>
      </c>
    </row>
    <row r="48">
      <c r="A48" s="110" t="s">
        <v>912</v>
      </c>
      <c r="B48" s="111" t="s">
        <v>314</v>
      </c>
      <c r="C48" s="112" t="s">
        <v>934</v>
      </c>
      <c r="D48" s="113">
        <v>49000.0</v>
      </c>
    </row>
    <row r="49">
      <c r="A49" s="110" t="s">
        <v>912</v>
      </c>
      <c r="B49" s="111" t="s">
        <v>314</v>
      </c>
      <c r="C49" s="112" t="s">
        <v>242</v>
      </c>
      <c r="D49" s="113">
        <v>49900.0</v>
      </c>
    </row>
    <row r="50">
      <c r="A50" s="110" t="s">
        <v>912</v>
      </c>
      <c r="B50" s="111" t="s">
        <v>314</v>
      </c>
      <c r="C50" s="112" t="s">
        <v>244</v>
      </c>
      <c r="D50" s="113">
        <v>49900.0</v>
      </c>
    </row>
    <row r="51">
      <c r="A51" s="110" t="s">
        <v>912</v>
      </c>
      <c r="B51" s="111" t="s">
        <v>314</v>
      </c>
      <c r="C51" s="112" t="s">
        <v>246</v>
      </c>
      <c r="D51" s="113">
        <v>49900.0</v>
      </c>
    </row>
    <row r="52">
      <c r="A52" s="110" t="s">
        <v>912</v>
      </c>
      <c r="B52" s="111" t="s">
        <v>314</v>
      </c>
      <c r="C52" s="115" t="s">
        <v>248</v>
      </c>
      <c r="D52" s="113">
        <v>13900.0</v>
      </c>
    </row>
    <row r="53">
      <c r="A53" s="110" t="s">
        <v>912</v>
      </c>
      <c r="B53" s="111" t="s">
        <v>314</v>
      </c>
      <c r="C53" s="112" t="s">
        <v>250</v>
      </c>
      <c r="D53" s="113">
        <v>15900.0</v>
      </c>
    </row>
    <row r="54">
      <c r="A54" s="110" t="s">
        <v>912</v>
      </c>
      <c r="B54" s="111" t="s">
        <v>314</v>
      </c>
      <c r="C54" s="112" t="s">
        <v>251</v>
      </c>
      <c r="D54" s="113">
        <v>14200.0</v>
      </c>
    </row>
    <row r="55">
      <c r="A55" s="110" t="s">
        <v>912</v>
      </c>
      <c r="B55" s="111" t="s">
        <v>314</v>
      </c>
      <c r="C55" s="112" t="s">
        <v>935</v>
      </c>
      <c r="D55" s="113">
        <v>53550.0</v>
      </c>
    </row>
    <row r="56">
      <c r="A56" s="110" t="s">
        <v>912</v>
      </c>
      <c r="B56" s="111" t="s">
        <v>314</v>
      </c>
      <c r="C56" s="112" t="s">
        <v>936</v>
      </c>
      <c r="D56" s="113">
        <v>53550.0</v>
      </c>
    </row>
    <row r="57">
      <c r="A57" s="110" t="s">
        <v>912</v>
      </c>
      <c r="B57" s="111" t="s">
        <v>314</v>
      </c>
      <c r="C57" s="115" t="s">
        <v>253</v>
      </c>
      <c r="D57" s="113">
        <v>14200.0</v>
      </c>
    </row>
    <row r="58">
      <c r="A58" s="110" t="s">
        <v>912</v>
      </c>
      <c r="B58" s="111" t="s">
        <v>314</v>
      </c>
      <c r="C58" s="115" t="s">
        <v>255</v>
      </c>
      <c r="D58" s="113">
        <v>14200.0</v>
      </c>
    </row>
    <row r="59">
      <c r="A59" s="110" t="s">
        <v>912</v>
      </c>
      <c r="B59" s="111" t="s">
        <v>314</v>
      </c>
      <c r="C59" s="112" t="s">
        <v>257</v>
      </c>
      <c r="D59" s="113">
        <v>115100.0</v>
      </c>
    </row>
    <row r="60">
      <c r="A60" s="110" t="s">
        <v>912</v>
      </c>
      <c r="B60" s="111" t="s">
        <v>314</v>
      </c>
      <c r="C60" s="112" t="s">
        <v>937</v>
      </c>
      <c r="D60" s="113">
        <v>49000.0</v>
      </c>
    </row>
    <row r="61">
      <c r="A61" s="110" t="s">
        <v>912</v>
      </c>
      <c r="B61" s="111" t="s">
        <v>314</v>
      </c>
      <c r="C61" s="112" t="s">
        <v>938</v>
      </c>
      <c r="D61" s="113">
        <v>34600.0</v>
      </c>
    </row>
    <row r="62">
      <c r="A62" s="110" t="s">
        <v>912</v>
      </c>
      <c r="B62" s="111" t="s">
        <v>314</v>
      </c>
      <c r="C62" s="112" t="s">
        <v>261</v>
      </c>
      <c r="D62" s="113">
        <v>14200.0</v>
      </c>
    </row>
    <row r="63">
      <c r="A63" s="110" t="s">
        <v>912</v>
      </c>
      <c r="B63" s="111" t="s">
        <v>314</v>
      </c>
      <c r="C63" s="112" t="s">
        <v>263</v>
      </c>
      <c r="D63" s="113">
        <v>14200.0</v>
      </c>
    </row>
    <row r="64">
      <c r="A64" s="110" t="s">
        <v>912</v>
      </c>
      <c r="B64" s="111" t="s">
        <v>314</v>
      </c>
      <c r="C64" s="112" t="s">
        <v>265</v>
      </c>
      <c r="D64" s="113">
        <v>14200.0</v>
      </c>
    </row>
    <row r="65">
      <c r="A65" s="110" t="s">
        <v>912</v>
      </c>
      <c r="B65" s="111" t="s">
        <v>314</v>
      </c>
      <c r="C65" s="112" t="s">
        <v>267</v>
      </c>
      <c r="D65" s="113">
        <v>49000.0</v>
      </c>
    </row>
    <row r="66">
      <c r="A66" s="110" t="s">
        <v>912</v>
      </c>
      <c r="B66" s="111" t="s">
        <v>314</v>
      </c>
      <c r="C66" s="112" t="s">
        <v>939</v>
      </c>
      <c r="D66" s="113">
        <v>49000.0</v>
      </c>
    </row>
    <row r="67">
      <c r="A67" s="110" t="s">
        <v>912</v>
      </c>
      <c r="B67" s="111" t="s">
        <v>314</v>
      </c>
      <c r="C67" s="112" t="s">
        <v>940</v>
      </c>
      <c r="D67" s="113">
        <v>49000.0</v>
      </c>
    </row>
    <row r="68">
      <c r="A68" s="110" t="s">
        <v>912</v>
      </c>
      <c r="B68" s="111" t="s">
        <v>314</v>
      </c>
      <c r="C68" s="112" t="s">
        <v>269</v>
      </c>
      <c r="D68" s="113">
        <v>14200.0</v>
      </c>
    </row>
    <row r="69">
      <c r="A69" s="110" t="s">
        <v>912</v>
      </c>
      <c r="B69" s="111" t="s">
        <v>314</v>
      </c>
      <c r="C69" s="115" t="s">
        <v>271</v>
      </c>
      <c r="D69" s="113">
        <v>14200.0</v>
      </c>
    </row>
    <row r="70">
      <c r="A70" s="110" t="s">
        <v>912</v>
      </c>
      <c r="B70" s="111" t="s">
        <v>314</v>
      </c>
      <c r="C70" s="112" t="s">
        <v>275</v>
      </c>
      <c r="D70" s="113">
        <v>53850.0</v>
      </c>
    </row>
    <row r="71">
      <c r="A71" s="110" t="s">
        <v>912</v>
      </c>
      <c r="B71" s="111" t="s">
        <v>314</v>
      </c>
      <c r="C71" s="112" t="s">
        <v>277</v>
      </c>
      <c r="D71" s="113">
        <v>49000.0</v>
      </c>
    </row>
    <row r="72">
      <c r="A72" s="110" t="s">
        <v>912</v>
      </c>
      <c r="B72" s="111" t="s">
        <v>314</v>
      </c>
      <c r="C72" s="112" t="s">
        <v>273</v>
      </c>
      <c r="D72" s="113">
        <v>83900.0</v>
      </c>
    </row>
    <row r="73">
      <c r="A73" s="110" t="s">
        <v>912</v>
      </c>
      <c r="B73" s="111" t="s">
        <v>314</v>
      </c>
      <c r="C73" s="112" t="s">
        <v>281</v>
      </c>
      <c r="D73" s="113">
        <v>14200.0</v>
      </c>
    </row>
    <row r="74">
      <c r="A74" s="110" t="s">
        <v>912</v>
      </c>
      <c r="B74" s="111" t="s">
        <v>314</v>
      </c>
      <c r="C74" s="112" t="s">
        <v>941</v>
      </c>
      <c r="D74" s="113">
        <v>53850.0</v>
      </c>
    </row>
    <row r="75">
      <c r="A75" s="110" t="s">
        <v>912</v>
      </c>
      <c r="B75" s="111" t="s">
        <v>314</v>
      </c>
      <c r="C75" s="112" t="s">
        <v>279</v>
      </c>
      <c r="D75" s="113">
        <v>49000.0</v>
      </c>
    </row>
    <row r="76">
      <c r="A76" s="110" t="s">
        <v>912</v>
      </c>
      <c r="B76" s="111" t="s">
        <v>314</v>
      </c>
      <c r="C76" s="112" t="s">
        <v>283</v>
      </c>
      <c r="D76" s="113">
        <v>97100.0</v>
      </c>
    </row>
    <row r="77">
      <c r="A77" s="110" t="s">
        <v>912</v>
      </c>
      <c r="B77" s="111" t="s">
        <v>314</v>
      </c>
      <c r="C77" s="112" t="s">
        <v>285</v>
      </c>
      <c r="D77" s="113">
        <v>13100.0</v>
      </c>
    </row>
    <row r="78">
      <c r="A78" s="110" t="s">
        <v>912</v>
      </c>
      <c r="B78" s="111" t="s">
        <v>314</v>
      </c>
      <c r="C78" s="112" t="s">
        <v>287</v>
      </c>
      <c r="D78" s="113">
        <v>13100.0</v>
      </c>
    </row>
    <row r="79">
      <c r="A79" s="110" t="s">
        <v>912</v>
      </c>
      <c r="B79" s="111" t="s">
        <v>314</v>
      </c>
      <c r="C79" s="112" t="s">
        <v>289</v>
      </c>
      <c r="D79" s="113">
        <v>14200.0</v>
      </c>
    </row>
    <row r="80">
      <c r="A80" s="110" t="s">
        <v>912</v>
      </c>
      <c r="B80" s="111" t="s">
        <v>314</v>
      </c>
      <c r="C80" s="112" t="s">
        <v>942</v>
      </c>
      <c r="D80" s="113">
        <v>34600.0</v>
      </c>
    </row>
    <row r="81">
      <c r="A81" s="110" t="s">
        <v>912</v>
      </c>
      <c r="B81" s="111" t="s">
        <v>314</v>
      </c>
      <c r="C81" s="112" t="s">
        <v>943</v>
      </c>
      <c r="D81" s="113">
        <v>34600.0</v>
      </c>
    </row>
    <row r="82">
      <c r="A82" s="110" t="s">
        <v>912</v>
      </c>
      <c r="B82" s="111" t="s">
        <v>923</v>
      </c>
      <c r="C82" s="112" t="s">
        <v>944</v>
      </c>
      <c r="D82" s="113">
        <v>50400.0</v>
      </c>
    </row>
    <row r="83">
      <c r="A83" s="110" t="s">
        <v>912</v>
      </c>
      <c r="B83" s="111" t="s">
        <v>923</v>
      </c>
      <c r="C83" s="112" t="s">
        <v>945</v>
      </c>
      <c r="D83" s="113">
        <v>50400.0</v>
      </c>
    </row>
    <row r="84">
      <c r="A84" s="110" t="s">
        <v>912</v>
      </c>
      <c r="B84" s="111" t="s">
        <v>314</v>
      </c>
      <c r="C84" s="112" t="s">
        <v>946</v>
      </c>
      <c r="D84" s="113">
        <v>34600.0</v>
      </c>
    </row>
    <row r="85">
      <c r="A85" s="110" t="s">
        <v>912</v>
      </c>
      <c r="B85" s="111" t="s">
        <v>923</v>
      </c>
      <c r="C85" s="112" t="s">
        <v>947</v>
      </c>
      <c r="D85" s="113">
        <v>50400.0</v>
      </c>
    </row>
    <row r="86">
      <c r="A86" s="110" t="s">
        <v>912</v>
      </c>
      <c r="B86" s="111" t="s">
        <v>923</v>
      </c>
      <c r="C86" s="112" t="s">
        <v>948</v>
      </c>
      <c r="D86" s="113">
        <v>50400.0</v>
      </c>
    </row>
    <row r="87">
      <c r="A87" s="110" t="s">
        <v>912</v>
      </c>
      <c r="B87" s="111" t="s">
        <v>923</v>
      </c>
      <c r="C87" s="112" t="s">
        <v>949</v>
      </c>
      <c r="D87" s="113">
        <v>50400.0</v>
      </c>
    </row>
    <row r="88">
      <c r="A88" s="110" t="s">
        <v>912</v>
      </c>
      <c r="B88" s="111" t="s">
        <v>314</v>
      </c>
      <c r="C88" s="112" t="s">
        <v>950</v>
      </c>
      <c r="D88" s="113">
        <v>150700.0</v>
      </c>
    </row>
    <row r="89">
      <c r="A89" s="110" t="s">
        <v>912</v>
      </c>
      <c r="B89" s="111" t="s">
        <v>923</v>
      </c>
      <c r="C89" s="112" t="s">
        <v>951</v>
      </c>
      <c r="D89" s="113">
        <v>50400.0</v>
      </c>
    </row>
    <row r="90">
      <c r="A90" s="110" t="s">
        <v>912</v>
      </c>
      <c r="B90" s="111" t="s">
        <v>314</v>
      </c>
      <c r="C90" s="112" t="s">
        <v>952</v>
      </c>
      <c r="D90" s="113">
        <v>49000.0</v>
      </c>
    </row>
    <row r="91">
      <c r="A91" s="110" t="s">
        <v>912</v>
      </c>
      <c r="B91" s="111" t="s">
        <v>314</v>
      </c>
      <c r="C91" s="112" t="s">
        <v>291</v>
      </c>
      <c r="D91" s="113">
        <v>51100.0</v>
      </c>
    </row>
    <row r="92">
      <c r="A92" s="110" t="s">
        <v>912</v>
      </c>
      <c r="B92" s="111" t="s">
        <v>314</v>
      </c>
      <c r="C92" s="112" t="s">
        <v>953</v>
      </c>
      <c r="D92" s="113">
        <v>150700.0</v>
      </c>
    </row>
    <row r="93">
      <c r="A93" s="110" t="s">
        <v>912</v>
      </c>
      <c r="B93" s="111" t="s">
        <v>314</v>
      </c>
      <c r="C93" s="112" t="s">
        <v>297</v>
      </c>
      <c r="D93" s="113">
        <v>51100.0</v>
      </c>
    </row>
    <row r="94">
      <c r="A94" s="110" t="s">
        <v>912</v>
      </c>
      <c r="B94" s="111" t="s">
        <v>314</v>
      </c>
      <c r="C94" s="112" t="s">
        <v>295</v>
      </c>
      <c r="D94" s="113">
        <v>150700.0</v>
      </c>
    </row>
    <row r="95">
      <c r="A95" s="110" t="s">
        <v>912</v>
      </c>
      <c r="B95" s="111" t="s">
        <v>314</v>
      </c>
      <c r="C95" s="112" t="s">
        <v>303</v>
      </c>
      <c r="D95" s="113">
        <v>150700.0</v>
      </c>
    </row>
    <row r="96">
      <c r="A96" s="110" t="s">
        <v>912</v>
      </c>
      <c r="B96" s="111" t="s">
        <v>314</v>
      </c>
      <c r="C96" s="112" t="s">
        <v>306</v>
      </c>
      <c r="D96" s="113">
        <v>150700.0</v>
      </c>
    </row>
    <row r="97">
      <c r="A97" s="110" t="s">
        <v>912</v>
      </c>
      <c r="B97" s="111" t="s">
        <v>314</v>
      </c>
      <c r="C97" s="112" t="s">
        <v>326</v>
      </c>
      <c r="D97" s="113">
        <v>150700.0</v>
      </c>
    </row>
    <row r="98">
      <c r="A98" s="110" t="s">
        <v>912</v>
      </c>
      <c r="B98" s="111" t="s">
        <v>314</v>
      </c>
      <c r="C98" s="115" t="s">
        <v>49</v>
      </c>
      <c r="D98" s="113">
        <v>150700.0</v>
      </c>
    </row>
    <row r="99">
      <c r="A99" s="110" t="s">
        <v>912</v>
      </c>
      <c r="B99" s="111" t="s">
        <v>314</v>
      </c>
      <c r="C99" s="112" t="s">
        <v>308</v>
      </c>
      <c r="D99" s="113">
        <v>150700.0</v>
      </c>
    </row>
    <row r="100">
      <c r="A100" s="110" t="s">
        <v>912</v>
      </c>
      <c r="B100" s="111" t="s">
        <v>314</v>
      </c>
      <c r="C100" s="112" t="s">
        <v>310</v>
      </c>
      <c r="D100" s="113">
        <v>18200.0</v>
      </c>
    </row>
    <row r="101">
      <c r="A101" s="110" t="s">
        <v>912</v>
      </c>
      <c r="B101" s="111" t="s">
        <v>314</v>
      </c>
      <c r="C101" s="112" t="s">
        <v>312</v>
      </c>
      <c r="D101" s="113">
        <v>18200.0</v>
      </c>
    </row>
    <row r="102">
      <c r="A102" s="110" t="s">
        <v>912</v>
      </c>
      <c r="B102" s="111" t="s">
        <v>314</v>
      </c>
      <c r="C102" s="112" t="s">
        <v>315</v>
      </c>
      <c r="D102" s="113">
        <v>20000.0</v>
      </c>
    </row>
    <row r="103">
      <c r="A103" s="110" t="s">
        <v>912</v>
      </c>
      <c r="B103" s="111" t="s">
        <v>314</v>
      </c>
      <c r="C103" s="115" t="s">
        <v>323</v>
      </c>
      <c r="D103" s="113">
        <v>14200.0</v>
      </c>
    </row>
    <row r="104">
      <c r="A104" s="110" t="s">
        <v>912</v>
      </c>
      <c r="B104" s="111" t="s">
        <v>314</v>
      </c>
      <c r="C104" s="115" t="s">
        <v>324</v>
      </c>
      <c r="D104" s="113">
        <v>14200.0</v>
      </c>
    </row>
    <row r="105">
      <c r="A105" s="110" t="s">
        <v>912</v>
      </c>
      <c r="B105" s="111" t="s">
        <v>314</v>
      </c>
      <c r="C105" s="115" t="s">
        <v>325</v>
      </c>
      <c r="D105" s="113">
        <v>14200.0</v>
      </c>
    </row>
    <row r="106">
      <c r="A106" s="110" t="s">
        <v>912</v>
      </c>
      <c r="B106" s="111" t="s">
        <v>314</v>
      </c>
      <c r="C106" s="115" t="s">
        <v>185</v>
      </c>
      <c r="D106" s="113">
        <v>76200.0</v>
      </c>
    </row>
    <row r="107">
      <c r="A107" s="110" t="s">
        <v>912</v>
      </c>
      <c r="B107" s="111" t="s">
        <v>314</v>
      </c>
      <c r="C107" s="112" t="s">
        <v>954</v>
      </c>
      <c r="D107" s="113">
        <v>150700.0</v>
      </c>
    </row>
    <row r="108">
      <c r="A108" s="110" t="s">
        <v>912</v>
      </c>
      <c r="B108" s="111" t="s">
        <v>955</v>
      </c>
      <c r="C108" s="112" t="s">
        <v>333</v>
      </c>
      <c r="D108" s="113">
        <v>71700.0</v>
      </c>
    </row>
    <row r="109">
      <c r="A109" s="110" t="s">
        <v>912</v>
      </c>
      <c r="B109" s="111" t="s">
        <v>955</v>
      </c>
      <c r="C109" s="112" t="s">
        <v>336</v>
      </c>
      <c r="D109" s="113">
        <v>26800.0</v>
      </c>
    </row>
    <row r="110">
      <c r="A110" s="110" t="s">
        <v>912</v>
      </c>
      <c r="B110" s="111" t="s">
        <v>955</v>
      </c>
      <c r="C110" s="112" t="s">
        <v>341</v>
      </c>
      <c r="D110" s="113">
        <v>71700.0</v>
      </c>
    </row>
    <row r="111">
      <c r="A111" s="110" t="s">
        <v>912</v>
      </c>
      <c r="B111" s="111" t="s">
        <v>955</v>
      </c>
      <c r="C111" s="112" t="s">
        <v>343</v>
      </c>
      <c r="D111" s="113">
        <v>71700.0</v>
      </c>
    </row>
    <row r="112">
      <c r="A112" s="110" t="s">
        <v>912</v>
      </c>
      <c r="B112" s="111" t="s">
        <v>955</v>
      </c>
      <c r="C112" s="112" t="s">
        <v>347</v>
      </c>
      <c r="D112" s="113">
        <v>71700.0</v>
      </c>
    </row>
    <row r="113">
      <c r="A113" s="110" t="s">
        <v>912</v>
      </c>
      <c r="B113" s="111" t="s">
        <v>955</v>
      </c>
      <c r="C113" s="112" t="s">
        <v>353</v>
      </c>
      <c r="D113" s="113">
        <v>26800.0</v>
      </c>
    </row>
    <row r="114">
      <c r="A114" s="110" t="s">
        <v>912</v>
      </c>
      <c r="B114" s="111" t="s">
        <v>955</v>
      </c>
      <c r="C114" s="112" t="s">
        <v>357</v>
      </c>
      <c r="D114" s="113">
        <v>71700.0</v>
      </c>
    </row>
    <row r="115">
      <c r="A115" s="110" t="s">
        <v>912</v>
      </c>
      <c r="B115" s="111" t="s">
        <v>955</v>
      </c>
      <c r="C115" s="112" t="s">
        <v>359</v>
      </c>
      <c r="D115" s="113">
        <v>26800.0</v>
      </c>
    </row>
    <row r="116">
      <c r="A116" s="110" t="s">
        <v>912</v>
      </c>
      <c r="B116" s="111" t="s">
        <v>955</v>
      </c>
      <c r="C116" s="112" t="s">
        <v>363</v>
      </c>
      <c r="D116" s="113">
        <v>71700.0</v>
      </c>
    </row>
    <row r="117">
      <c r="A117" s="110" t="s">
        <v>912</v>
      </c>
      <c r="B117" s="111" t="s">
        <v>955</v>
      </c>
      <c r="C117" s="112" t="s">
        <v>364</v>
      </c>
      <c r="D117" s="113">
        <v>71700.0</v>
      </c>
    </row>
    <row r="118">
      <c r="A118" s="110" t="s">
        <v>912</v>
      </c>
      <c r="B118" s="111" t="s">
        <v>955</v>
      </c>
      <c r="C118" s="112" t="s">
        <v>956</v>
      </c>
      <c r="D118" s="113">
        <v>179500.0</v>
      </c>
    </row>
    <row r="119">
      <c r="A119" s="110" t="s">
        <v>912</v>
      </c>
      <c r="B119" s="111" t="s">
        <v>955</v>
      </c>
      <c r="C119" s="112" t="s">
        <v>367</v>
      </c>
      <c r="D119" s="113">
        <v>71700.0</v>
      </c>
    </row>
    <row r="120">
      <c r="A120" s="110" t="s">
        <v>912</v>
      </c>
      <c r="B120" s="111" t="s">
        <v>955</v>
      </c>
      <c r="C120" s="112" t="s">
        <v>368</v>
      </c>
      <c r="D120" s="113">
        <v>71700.0</v>
      </c>
    </row>
    <row r="121">
      <c r="A121" s="110" t="s">
        <v>912</v>
      </c>
      <c r="B121" s="111" t="s">
        <v>955</v>
      </c>
      <c r="C121" s="112" t="s">
        <v>957</v>
      </c>
      <c r="D121" s="113">
        <v>26800.0</v>
      </c>
    </row>
    <row r="122">
      <c r="A122" s="110" t="s">
        <v>912</v>
      </c>
      <c r="B122" s="111" t="s">
        <v>955</v>
      </c>
      <c r="C122" s="112" t="s">
        <v>373</v>
      </c>
      <c r="D122" s="113">
        <v>71700.0</v>
      </c>
    </row>
    <row r="123">
      <c r="A123" s="110" t="s">
        <v>912</v>
      </c>
      <c r="B123" s="111" t="s">
        <v>955</v>
      </c>
      <c r="C123" s="112" t="s">
        <v>375</v>
      </c>
      <c r="D123" s="113">
        <v>26800.0</v>
      </c>
    </row>
    <row r="124">
      <c r="A124" s="110" t="s">
        <v>912</v>
      </c>
      <c r="B124" s="111" t="s">
        <v>955</v>
      </c>
      <c r="C124" s="112" t="s">
        <v>379</v>
      </c>
      <c r="D124" s="113">
        <v>71700.0</v>
      </c>
    </row>
    <row r="125">
      <c r="A125" s="110" t="s">
        <v>912</v>
      </c>
      <c r="B125" s="111" t="s">
        <v>955</v>
      </c>
      <c r="C125" s="112" t="s">
        <v>958</v>
      </c>
      <c r="D125" s="113">
        <v>26800.0</v>
      </c>
    </row>
    <row r="126">
      <c r="A126" s="110" t="s">
        <v>912</v>
      </c>
      <c r="B126" s="111" t="s">
        <v>955</v>
      </c>
      <c r="C126" s="112" t="s">
        <v>384</v>
      </c>
      <c r="D126" s="113">
        <v>71700.0</v>
      </c>
    </row>
    <row r="127">
      <c r="A127" s="110" t="s">
        <v>912</v>
      </c>
      <c r="B127" s="111" t="s">
        <v>955</v>
      </c>
      <c r="C127" s="112" t="s">
        <v>959</v>
      </c>
      <c r="D127" s="113">
        <v>149000.0</v>
      </c>
    </row>
    <row r="128">
      <c r="A128" s="110" t="s">
        <v>912</v>
      </c>
      <c r="B128" s="111" t="s">
        <v>955</v>
      </c>
      <c r="C128" s="112" t="s">
        <v>387</v>
      </c>
      <c r="D128" s="113">
        <v>26800.0</v>
      </c>
    </row>
    <row r="129">
      <c r="A129" s="110" t="s">
        <v>912</v>
      </c>
      <c r="B129" s="111" t="s">
        <v>955</v>
      </c>
      <c r="C129" s="112" t="s">
        <v>391</v>
      </c>
      <c r="D129" s="113">
        <v>71700.0</v>
      </c>
    </row>
    <row r="130">
      <c r="A130" s="110" t="s">
        <v>912</v>
      </c>
      <c r="B130" s="111" t="s">
        <v>955</v>
      </c>
      <c r="C130" s="112" t="s">
        <v>960</v>
      </c>
      <c r="D130" s="113">
        <v>149000.0</v>
      </c>
    </row>
    <row r="131">
      <c r="A131" s="110" t="s">
        <v>912</v>
      </c>
      <c r="B131" s="111" t="s">
        <v>955</v>
      </c>
      <c r="C131" s="112" t="s">
        <v>397</v>
      </c>
      <c r="D131" s="113">
        <v>26800.0</v>
      </c>
    </row>
    <row r="132">
      <c r="A132" s="110" t="s">
        <v>912</v>
      </c>
      <c r="B132" s="111" t="s">
        <v>955</v>
      </c>
      <c r="C132" s="112" t="s">
        <v>399</v>
      </c>
      <c r="D132" s="113">
        <v>71700.0</v>
      </c>
    </row>
    <row r="133">
      <c r="A133" s="110" t="s">
        <v>912</v>
      </c>
      <c r="B133" s="111" t="s">
        <v>955</v>
      </c>
      <c r="C133" s="112" t="s">
        <v>403</v>
      </c>
      <c r="D133" s="113">
        <v>26800.0</v>
      </c>
    </row>
    <row r="134">
      <c r="A134" s="110" t="s">
        <v>912</v>
      </c>
      <c r="B134" s="111" t="s">
        <v>955</v>
      </c>
      <c r="C134" s="112" t="s">
        <v>405</v>
      </c>
      <c r="D134" s="113">
        <v>71700.0</v>
      </c>
    </row>
    <row r="135">
      <c r="A135" s="110" t="s">
        <v>912</v>
      </c>
      <c r="B135" s="111" t="s">
        <v>955</v>
      </c>
      <c r="C135" s="112" t="s">
        <v>961</v>
      </c>
      <c r="D135" s="113">
        <v>26800.0</v>
      </c>
    </row>
    <row r="136">
      <c r="A136" s="110" t="s">
        <v>912</v>
      </c>
      <c r="B136" s="111" t="s">
        <v>955</v>
      </c>
      <c r="C136" s="112" t="s">
        <v>413</v>
      </c>
      <c r="D136" s="113">
        <v>71700.0</v>
      </c>
    </row>
    <row r="137">
      <c r="A137" s="110" t="s">
        <v>912</v>
      </c>
      <c r="B137" s="111" t="s">
        <v>955</v>
      </c>
      <c r="C137" s="112" t="s">
        <v>962</v>
      </c>
      <c r="D137" s="113">
        <v>149000.0</v>
      </c>
    </row>
    <row r="138">
      <c r="A138" s="110" t="s">
        <v>912</v>
      </c>
      <c r="B138" s="111" t="s">
        <v>955</v>
      </c>
      <c r="C138" s="112" t="s">
        <v>963</v>
      </c>
      <c r="D138" s="113">
        <v>26800.0</v>
      </c>
    </row>
    <row r="139">
      <c r="A139" s="110" t="s">
        <v>912</v>
      </c>
      <c r="B139" s="111" t="s">
        <v>955</v>
      </c>
      <c r="C139" s="112" t="s">
        <v>420</v>
      </c>
      <c r="D139" s="113">
        <v>71700.0</v>
      </c>
    </row>
    <row r="140">
      <c r="A140" s="110" t="s">
        <v>912</v>
      </c>
      <c r="B140" s="111" t="s">
        <v>955</v>
      </c>
      <c r="C140" s="112" t="s">
        <v>421</v>
      </c>
      <c r="D140" s="113">
        <v>71700.0</v>
      </c>
    </row>
    <row r="141">
      <c r="A141" s="110" t="s">
        <v>912</v>
      </c>
      <c r="B141" s="111" t="s">
        <v>955</v>
      </c>
      <c r="C141" s="112" t="s">
        <v>422</v>
      </c>
      <c r="D141" s="113">
        <v>71700.0</v>
      </c>
    </row>
    <row r="142">
      <c r="A142" s="110" t="s">
        <v>912</v>
      </c>
      <c r="B142" s="111" t="s">
        <v>955</v>
      </c>
      <c r="C142" s="112" t="s">
        <v>964</v>
      </c>
      <c r="D142" s="113">
        <v>149000.0</v>
      </c>
    </row>
    <row r="143">
      <c r="A143" s="110" t="s">
        <v>912</v>
      </c>
      <c r="B143" s="111" t="s">
        <v>955</v>
      </c>
      <c r="C143" s="112" t="s">
        <v>426</v>
      </c>
      <c r="D143" s="113">
        <v>71700.0</v>
      </c>
    </row>
    <row r="144">
      <c r="A144" s="110" t="s">
        <v>912</v>
      </c>
      <c r="B144" s="111" t="s">
        <v>955</v>
      </c>
      <c r="C144" s="112" t="s">
        <v>965</v>
      </c>
      <c r="D144" s="113">
        <v>150700.0</v>
      </c>
    </row>
    <row r="145">
      <c r="A145" s="110" t="s">
        <v>912</v>
      </c>
      <c r="B145" s="111" t="s">
        <v>955</v>
      </c>
      <c r="C145" s="112" t="s">
        <v>966</v>
      </c>
      <c r="D145" s="113">
        <v>38000.0</v>
      </c>
    </row>
    <row r="146">
      <c r="A146" s="110" t="s">
        <v>912</v>
      </c>
      <c r="B146" s="111" t="s">
        <v>955</v>
      </c>
      <c r="C146" s="112" t="s">
        <v>430</v>
      </c>
      <c r="D146" s="113">
        <v>71700.0</v>
      </c>
    </row>
    <row r="147">
      <c r="A147" s="110" t="s">
        <v>912</v>
      </c>
      <c r="B147" s="111" t="s">
        <v>955</v>
      </c>
      <c r="C147" s="112" t="s">
        <v>432</v>
      </c>
      <c r="D147" s="113">
        <v>71700.0</v>
      </c>
    </row>
    <row r="148">
      <c r="A148" s="110" t="s">
        <v>912</v>
      </c>
      <c r="B148" s="111" t="s">
        <v>955</v>
      </c>
      <c r="C148" s="112" t="s">
        <v>967</v>
      </c>
      <c r="D148" s="113">
        <v>71700.0</v>
      </c>
    </row>
    <row r="149">
      <c r="A149" s="110" t="s">
        <v>912</v>
      </c>
      <c r="B149" s="111" t="s">
        <v>955</v>
      </c>
      <c r="C149" s="116" t="s">
        <v>434</v>
      </c>
      <c r="D149" s="113">
        <v>26800.0</v>
      </c>
    </row>
    <row r="150">
      <c r="A150" s="110" t="s">
        <v>912</v>
      </c>
      <c r="B150" s="111" t="s">
        <v>955</v>
      </c>
      <c r="C150" s="108" t="s">
        <v>436</v>
      </c>
      <c r="D150" s="113">
        <v>71700.0</v>
      </c>
    </row>
    <row r="151">
      <c r="A151" s="110" t="s">
        <v>912</v>
      </c>
      <c r="B151" s="111" t="s">
        <v>955</v>
      </c>
      <c r="C151" s="112" t="s">
        <v>439</v>
      </c>
      <c r="D151" s="113">
        <v>26800.0</v>
      </c>
    </row>
    <row r="152">
      <c r="A152" s="110" t="s">
        <v>912</v>
      </c>
      <c r="B152" s="111" t="s">
        <v>955</v>
      </c>
      <c r="C152" s="112" t="s">
        <v>440</v>
      </c>
      <c r="D152" s="113">
        <v>71700.0</v>
      </c>
    </row>
    <row r="153">
      <c r="A153" s="110" t="s">
        <v>912</v>
      </c>
      <c r="B153" s="111" t="s">
        <v>955</v>
      </c>
      <c r="C153" s="112" t="s">
        <v>442</v>
      </c>
      <c r="D153" s="113">
        <v>150700.0</v>
      </c>
    </row>
    <row r="154">
      <c r="A154" s="110" t="s">
        <v>912</v>
      </c>
      <c r="B154" s="111" t="s">
        <v>955</v>
      </c>
      <c r="C154" s="117" t="s">
        <v>968</v>
      </c>
      <c r="D154" s="113">
        <v>150700.0</v>
      </c>
    </row>
    <row r="155">
      <c r="A155" s="110" t="s">
        <v>912</v>
      </c>
      <c r="B155" s="111" t="s">
        <v>955</v>
      </c>
      <c r="C155" s="117" t="s">
        <v>444</v>
      </c>
      <c r="D155" s="113">
        <v>150700.0</v>
      </c>
    </row>
    <row r="156">
      <c r="A156" s="110" t="s">
        <v>912</v>
      </c>
      <c r="B156" s="111" t="s">
        <v>955</v>
      </c>
      <c r="C156" s="112" t="s">
        <v>446</v>
      </c>
      <c r="D156" s="113">
        <v>150700.0</v>
      </c>
    </row>
    <row r="157">
      <c r="A157" s="110" t="s">
        <v>912</v>
      </c>
      <c r="B157" s="111" t="s">
        <v>955</v>
      </c>
      <c r="C157" s="116" t="s">
        <v>450</v>
      </c>
      <c r="D157" s="113">
        <v>189900.0</v>
      </c>
    </row>
    <row r="158">
      <c r="A158" s="110" t="s">
        <v>912</v>
      </c>
      <c r="B158" s="111" t="s">
        <v>955</v>
      </c>
      <c r="C158" s="108" t="s">
        <v>452</v>
      </c>
      <c r="D158" s="113">
        <v>189900.0</v>
      </c>
    </row>
    <row r="159">
      <c r="A159" s="110" t="s">
        <v>912</v>
      </c>
      <c r="B159" s="111" t="s">
        <v>955</v>
      </c>
      <c r="C159" s="112" t="s">
        <v>969</v>
      </c>
      <c r="D159" s="113">
        <v>150700.0</v>
      </c>
    </row>
    <row r="160">
      <c r="A160" s="110" t="s">
        <v>912</v>
      </c>
      <c r="B160" s="111" t="s">
        <v>955</v>
      </c>
      <c r="C160" s="112" t="s">
        <v>970</v>
      </c>
      <c r="D160" s="113">
        <v>178000.0</v>
      </c>
    </row>
    <row r="161">
      <c r="A161" s="110" t="s">
        <v>912</v>
      </c>
      <c r="B161" s="111" t="s">
        <v>955</v>
      </c>
      <c r="C161" s="112" t="s">
        <v>458</v>
      </c>
      <c r="D161" s="113">
        <v>179500.0</v>
      </c>
    </row>
    <row r="162">
      <c r="A162" s="110" t="s">
        <v>912</v>
      </c>
      <c r="B162" s="111" t="s">
        <v>955</v>
      </c>
      <c r="C162" s="117" t="s">
        <v>457</v>
      </c>
      <c r="D162" s="113">
        <v>189900.0</v>
      </c>
    </row>
    <row r="163">
      <c r="A163" s="110" t="s">
        <v>912</v>
      </c>
      <c r="B163" s="111" t="s">
        <v>955</v>
      </c>
      <c r="C163" s="117" t="s">
        <v>456</v>
      </c>
      <c r="D163" s="113">
        <v>189900.0</v>
      </c>
    </row>
    <row r="164">
      <c r="A164" s="110" t="s">
        <v>912</v>
      </c>
      <c r="B164" s="111" t="s">
        <v>955</v>
      </c>
      <c r="C164" s="112" t="s">
        <v>971</v>
      </c>
      <c r="D164" s="113">
        <v>150700.0</v>
      </c>
    </row>
    <row r="165">
      <c r="A165" s="110" t="s">
        <v>912</v>
      </c>
      <c r="B165" s="111" t="s">
        <v>955</v>
      </c>
      <c r="C165" s="117" t="s">
        <v>461</v>
      </c>
      <c r="D165" s="113">
        <v>189900.0</v>
      </c>
    </row>
    <row r="166">
      <c r="A166" s="110" t="s">
        <v>912</v>
      </c>
      <c r="B166" s="111" t="s">
        <v>955</v>
      </c>
      <c r="C166" s="112" t="s">
        <v>463</v>
      </c>
      <c r="D166" s="113">
        <v>179500.0</v>
      </c>
    </row>
    <row r="167">
      <c r="A167" s="110" t="s">
        <v>912</v>
      </c>
      <c r="B167" s="111" t="s">
        <v>955</v>
      </c>
      <c r="C167" s="115" t="s">
        <v>299</v>
      </c>
      <c r="D167" s="113">
        <v>150700.0</v>
      </c>
    </row>
    <row r="168">
      <c r="A168" s="110" t="s">
        <v>912</v>
      </c>
      <c r="B168" s="111" t="s">
        <v>955</v>
      </c>
      <c r="C168" s="112" t="s">
        <v>465</v>
      </c>
      <c r="D168" s="113">
        <v>150700.0</v>
      </c>
    </row>
    <row r="169">
      <c r="A169" s="110" t="s">
        <v>912</v>
      </c>
      <c r="B169" s="111" t="s">
        <v>955</v>
      </c>
      <c r="C169" s="112" t="s">
        <v>972</v>
      </c>
      <c r="D169" s="113">
        <v>187000.0</v>
      </c>
    </row>
    <row r="170">
      <c r="A170" s="110" t="s">
        <v>912</v>
      </c>
      <c r="B170" s="111" t="s">
        <v>955</v>
      </c>
      <c r="C170" s="112" t="s">
        <v>973</v>
      </c>
      <c r="D170" s="113">
        <v>183000.0</v>
      </c>
    </row>
    <row r="171">
      <c r="A171" s="110" t="s">
        <v>912</v>
      </c>
      <c r="B171" s="111" t="s">
        <v>955</v>
      </c>
      <c r="C171" s="112" t="s">
        <v>974</v>
      </c>
      <c r="D171" s="113">
        <v>194000.0</v>
      </c>
    </row>
    <row r="172">
      <c r="A172" s="110" t="s">
        <v>912</v>
      </c>
      <c r="B172" s="111" t="s">
        <v>955</v>
      </c>
      <c r="C172" s="112" t="s">
        <v>975</v>
      </c>
      <c r="D172" s="113">
        <v>193000.0</v>
      </c>
    </row>
    <row r="173">
      <c r="A173" s="110" t="s">
        <v>912</v>
      </c>
      <c r="B173" s="111" t="s">
        <v>955</v>
      </c>
      <c r="C173" s="112" t="s">
        <v>976</v>
      </c>
      <c r="D173" s="113">
        <v>225000.0</v>
      </c>
    </row>
    <row r="174">
      <c r="A174" s="110" t="s">
        <v>912</v>
      </c>
      <c r="B174" s="111" t="s">
        <v>955</v>
      </c>
      <c r="C174" s="112" t="s">
        <v>977</v>
      </c>
      <c r="D174" s="113">
        <v>63000.0</v>
      </c>
    </row>
    <row r="175">
      <c r="A175" s="110" t="s">
        <v>912</v>
      </c>
      <c r="B175" s="111" t="s">
        <v>955</v>
      </c>
      <c r="C175" s="112" t="s">
        <v>978</v>
      </c>
      <c r="D175" s="113">
        <v>539000.0</v>
      </c>
    </row>
    <row r="176">
      <c r="A176" s="110" t="s">
        <v>912</v>
      </c>
      <c r="B176" s="111" t="s">
        <v>955</v>
      </c>
      <c r="C176" s="112" t="s">
        <v>979</v>
      </c>
      <c r="D176" s="113">
        <v>390000.0</v>
      </c>
    </row>
    <row r="177">
      <c r="A177" s="110" t="s">
        <v>912</v>
      </c>
      <c r="B177" s="111" t="s">
        <v>955</v>
      </c>
      <c r="C177" s="112" t="s">
        <v>980</v>
      </c>
      <c r="D177" s="113">
        <v>390000.0</v>
      </c>
    </row>
    <row r="178">
      <c r="A178" s="110" t="s">
        <v>912</v>
      </c>
      <c r="B178" s="111" t="s">
        <v>955</v>
      </c>
      <c r="C178" s="112" t="s">
        <v>981</v>
      </c>
      <c r="D178" s="113">
        <v>390000.0</v>
      </c>
    </row>
    <row r="179">
      <c r="A179" s="110" t="s">
        <v>912</v>
      </c>
      <c r="B179" s="111" t="s">
        <v>955</v>
      </c>
      <c r="C179" s="112" t="s">
        <v>982</v>
      </c>
      <c r="D179" s="113">
        <v>390000.0</v>
      </c>
    </row>
    <row r="180">
      <c r="A180" s="110" t="s">
        <v>912</v>
      </c>
      <c r="B180" s="111" t="s">
        <v>955</v>
      </c>
      <c r="C180" s="112" t="s">
        <v>983</v>
      </c>
      <c r="D180" s="113">
        <v>279000.0</v>
      </c>
    </row>
    <row r="181">
      <c r="A181" s="110" t="s">
        <v>912</v>
      </c>
      <c r="B181" s="111" t="s">
        <v>955</v>
      </c>
      <c r="C181" s="112" t="s">
        <v>984</v>
      </c>
      <c r="D181" s="113">
        <v>288000.0</v>
      </c>
    </row>
    <row r="182">
      <c r="A182" s="110" t="s">
        <v>912</v>
      </c>
      <c r="B182" s="111" t="s">
        <v>955</v>
      </c>
      <c r="C182" s="112" t="s">
        <v>985</v>
      </c>
      <c r="D182" s="113">
        <v>403000.0</v>
      </c>
    </row>
    <row r="183">
      <c r="A183" s="110" t="s">
        <v>912</v>
      </c>
      <c r="B183" s="111" t="s">
        <v>955</v>
      </c>
      <c r="C183" s="112" t="s">
        <v>986</v>
      </c>
      <c r="D183" s="113">
        <v>583000.0</v>
      </c>
    </row>
    <row r="184">
      <c r="A184" s="110" t="s">
        <v>912</v>
      </c>
      <c r="B184" s="111" t="s">
        <v>955</v>
      </c>
      <c r="C184" s="112" t="s">
        <v>987</v>
      </c>
      <c r="D184" s="113">
        <v>717000.0</v>
      </c>
    </row>
    <row r="185">
      <c r="A185" s="110" t="s">
        <v>912</v>
      </c>
      <c r="B185" s="111" t="s">
        <v>955</v>
      </c>
      <c r="C185" s="112" t="s">
        <v>988</v>
      </c>
      <c r="D185" s="113">
        <v>583000.0</v>
      </c>
    </row>
    <row r="186">
      <c r="A186" s="110" t="s">
        <v>912</v>
      </c>
      <c r="B186" s="111" t="s">
        <v>955</v>
      </c>
      <c r="C186" s="112" t="s">
        <v>989</v>
      </c>
      <c r="D186" s="113">
        <v>504000.0</v>
      </c>
    </row>
    <row r="187">
      <c r="A187" s="110" t="s">
        <v>912</v>
      </c>
      <c r="B187" s="111" t="s">
        <v>955</v>
      </c>
      <c r="C187" s="112" t="s">
        <v>990</v>
      </c>
      <c r="D187" s="113">
        <v>285000.0</v>
      </c>
    </row>
    <row r="188">
      <c r="A188" s="110" t="s">
        <v>912</v>
      </c>
      <c r="B188" s="111" t="s">
        <v>955</v>
      </c>
      <c r="C188" s="112" t="s">
        <v>991</v>
      </c>
      <c r="D188" s="113">
        <v>403000.0</v>
      </c>
    </row>
    <row r="189">
      <c r="A189" s="110" t="s">
        <v>912</v>
      </c>
      <c r="B189" s="111" t="s">
        <v>955</v>
      </c>
      <c r="C189" s="112" t="s">
        <v>992</v>
      </c>
      <c r="D189" s="113">
        <v>403000.0</v>
      </c>
    </row>
    <row r="190">
      <c r="A190" s="110" t="s">
        <v>912</v>
      </c>
      <c r="B190" s="111" t="s">
        <v>955</v>
      </c>
      <c r="C190" s="112" t="s">
        <v>993</v>
      </c>
      <c r="D190" s="113">
        <v>372000.0</v>
      </c>
    </row>
    <row r="191">
      <c r="A191" s="110" t="s">
        <v>912</v>
      </c>
      <c r="B191" s="111" t="s">
        <v>955</v>
      </c>
      <c r="C191" s="112" t="s">
        <v>994</v>
      </c>
      <c r="D191" s="113">
        <v>372000.0</v>
      </c>
    </row>
    <row r="192">
      <c r="A192" s="110" t="s">
        <v>912</v>
      </c>
      <c r="B192" s="111" t="s">
        <v>955</v>
      </c>
      <c r="C192" s="112" t="s">
        <v>995</v>
      </c>
      <c r="D192" s="113">
        <v>150700.0</v>
      </c>
    </row>
    <row r="193">
      <c r="A193" s="110" t="s">
        <v>912</v>
      </c>
      <c r="B193" s="111" t="s">
        <v>955</v>
      </c>
      <c r="C193" s="112" t="s">
        <v>485</v>
      </c>
      <c r="D193" s="113">
        <v>161200.0</v>
      </c>
    </row>
    <row r="194">
      <c r="A194" s="110" t="s">
        <v>912</v>
      </c>
      <c r="B194" s="111" t="s">
        <v>955</v>
      </c>
      <c r="C194" s="112" t="s">
        <v>487</v>
      </c>
      <c r="D194" s="113">
        <v>150700.0</v>
      </c>
    </row>
    <row r="195">
      <c r="A195" s="110" t="s">
        <v>912</v>
      </c>
      <c r="B195" s="111" t="s">
        <v>955</v>
      </c>
      <c r="C195" s="112" t="s">
        <v>489</v>
      </c>
      <c r="D195" s="113">
        <v>150700.0</v>
      </c>
    </row>
    <row r="196">
      <c r="A196" s="110" t="s">
        <v>912</v>
      </c>
      <c r="B196" s="111" t="s">
        <v>955</v>
      </c>
      <c r="C196" s="112" t="s">
        <v>491</v>
      </c>
      <c r="D196" s="113">
        <v>161200.0</v>
      </c>
    </row>
    <row r="197">
      <c r="A197" s="110" t="s">
        <v>912</v>
      </c>
      <c r="B197" s="111" t="s">
        <v>955</v>
      </c>
      <c r="C197" s="112" t="s">
        <v>495</v>
      </c>
      <c r="D197" s="113">
        <v>150700.0</v>
      </c>
    </row>
    <row r="198">
      <c r="A198" s="118" t="s">
        <v>912</v>
      </c>
      <c r="B198" s="119" t="s">
        <v>955</v>
      </c>
      <c r="C198" s="120" t="s">
        <v>497</v>
      </c>
      <c r="D198" s="121">
        <v>150700.0</v>
      </c>
    </row>
    <row r="199">
      <c r="A199" s="110" t="s">
        <v>180</v>
      </c>
      <c r="B199" s="111" t="s">
        <v>314</v>
      </c>
      <c r="C199" s="112" t="s">
        <v>503</v>
      </c>
      <c r="D199" s="113">
        <v>15900.0</v>
      </c>
    </row>
    <row r="200">
      <c r="A200" s="110" t="s">
        <v>180</v>
      </c>
      <c r="B200" s="111" t="s">
        <v>314</v>
      </c>
      <c r="C200" s="112" t="s">
        <v>506</v>
      </c>
      <c r="D200" s="113">
        <v>15900.0</v>
      </c>
    </row>
    <row r="201">
      <c r="A201" s="110" t="s">
        <v>180</v>
      </c>
      <c r="B201" s="111" t="s">
        <v>314</v>
      </c>
      <c r="C201" s="112" t="s">
        <v>996</v>
      </c>
      <c r="D201" s="113">
        <v>35600.0</v>
      </c>
    </row>
    <row r="202">
      <c r="A202" s="110" t="s">
        <v>180</v>
      </c>
      <c r="B202" s="111" t="s">
        <v>314</v>
      </c>
      <c r="C202" s="112" t="s">
        <v>508</v>
      </c>
      <c r="D202" s="113">
        <v>43750.0</v>
      </c>
    </row>
    <row r="203">
      <c r="A203" s="110" t="s">
        <v>180</v>
      </c>
      <c r="B203" s="111" t="s">
        <v>314</v>
      </c>
      <c r="C203" s="112" t="s">
        <v>512</v>
      </c>
      <c r="D203" s="113">
        <v>15900.0</v>
      </c>
    </row>
    <row r="204">
      <c r="A204" s="110" t="s">
        <v>180</v>
      </c>
      <c r="B204" s="111" t="s">
        <v>314</v>
      </c>
      <c r="C204" s="112" t="s">
        <v>514</v>
      </c>
      <c r="D204" s="113">
        <v>12500.0</v>
      </c>
    </row>
    <row r="205">
      <c r="A205" s="110" t="s">
        <v>180</v>
      </c>
      <c r="B205" s="111" t="s">
        <v>314</v>
      </c>
      <c r="C205" s="112" t="s">
        <v>520</v>
      </c>
      <c r="D205" s="113">
        <v>13200.0</v>
      </c>
    </row>
    <row r="206">
      <c r="A206" s="110" t="s">
        <v>180</v>
      </c>
      <c r="B206" s="111" t="s">
        <v>314</v>
      </c>
      <c r="C206" s="112" t="s">
        <v>518</v>
      </c>
      <c r="D206" s="113">
        <v>13200.0</v>
      </c>
    </row>
    <row r="207">
      <c r="A207" s="110" t="s">
        <v>180</v>
      </c>
      <c r="B207" s="111" t="s">
        <v>314</v>
      </c>
      <c r="C207" s="112" t="s">
        <v>530</v>
      </c>
      <c r="D207" s="113">
        <v>13200.0</v>
      </c>
    </row>
    <row r="208">
      <c r="A208" s="110" t="s">
        <v>180</v>
      </c>
      <c r="B208" s="111" t="s">
        <v>314</v>
      </c>
      <c r="C208" s="112" t="s">
        <v>524</v>
      </c>
      <c r="D208" s="113">
        <v>13200.0</v>
      </c>
    </row>
    <row r="209">
      <c r="A209" s="110" t="s">
        <v>180</v>
      </c>
      <c r="B209" s="111" t="s">
        <v>314</v>
      </c>
      <c r="C209" s="112" t="s">
        <v>532</v>
      </c>
      <c r="D209" s="113">
        <v>49000.0</v>
      </c>
    </row>
    <row r="210">
      <c r="A210" s="110" t="s">
        <v>180</v>
      </c>
      <c r="B210" s="111" t="s">
        <v>314</v>
      </c>
      <c r="C210" s="112" t="s">
        <v>997</v>
      </c>
      <c r="D210" s="113">
        <v>49000.0</v>
      </c>
    </row>
    <row r="211">
      <c r="A211" s="110" t="s">
        <v>180</v>
      </c>
      <c r="B211" s="111" t="s">
        <v>314</v>
      </c>
      <c r="C211" s="112" t="s">
        <v>526</v>
      </c>
      <c r="D211" s="113">
        <v>15900.0</v>
      </c>
    </row>
    <row r="212">
      <c r="A212" s="110" t="s">
        <v>180</v>
      </c>
      <c r="B212" s="111" t="s">
        <v>923</v>
      </c>
      <c r="C212" s="112" t="s">
        <v>998</v>
      </c>
      <c r="D212" s="113">
        <v>111200.0</v>
      </c>
    </row>
    <row r="213">
      <c r="A213" s="110" t="s">
        <v>180</v>
      </c>
      <c r="B213" s="111" t="s">
        <v>314</v>
      </c>
      <c r="C213" s="112" t="s">
        <v>536</v>
      </c>
      <c r="D213" s="113">
        <v>49000.0</v>
      </c>
    </row>
    <row r="214">
      <c r="A214" s="110" t="s">
        <v>180</v>
      </c>
      <c r="B214" s="111" t="s">
        <v>314</v>
      </c>
      <c r="C214" s="112" t="s">
        <v>999</v>
      </c>
      <c r="D214" s="113">
        <v>49000.0</v>
      </c>
    </row>
    <row r="215">
      <c r="A215" s="110" t="s">
        <v>180</v>
      </c>
      <c r="B215" s="111" t="s">
        <v>314</v>
      </c>
      <c r="C215" s="112" t="s">
        <v>540</v>
      </c>
      <c r="D215" s="113">
        <v>12500.0</v>
      </c>
    </row>
    <row r="216">
      <c r="A216" s="110" t="s">
        <v>180</v>
      </c>
      <c r="B216" s="111" t="s">
        <v>314</v>
      </c>
      <c r="C216" s="112" t="s">
        <v>538</v>
      </c>
      <c r="D216" s="113">
        <v>15900.0</v>
      </c>
    </row>
    <row r="217">
      <c r="A217" s="110" t="s">
        <v>180</v>
      </c>
      <c r="B217" s="111" t="s">
        <v>314</v>
      </c>
      <c r="C217" s="112" t="s">
        <v>544</v>
      </c>
      <c r="D217" s="113">
        <v>12700.0</v>
      </c>
    </row>
    <row r="218">
      <c r="A218" s="110" t="s">
        <v>180</v>
      </c>
      <c r="B218" s="111" t="s">
        <v>314</v>
      </c>
      <c r="C218" s="112" t="s">
        <v>546</v>
      </c>
      <c r="D218" s="113">
        <v>12500.0</v>
      </c>
    </row>
    <row r="219">
      <c r="A219" s="110" t="s">
        <v>180</v>
      </c>
      <c r="B219" s="111" t="s">
        <v>314</v>
      </c>
      <c r="C219" s="112" t="s">
        <v>542</v>
      </c>
      <c r="D219" s="113">
        <v>15900.0</v>
      </c>
    </row>
    <row r="220">
      <c r="A220" s="110" t="s">
        <v>180</v>
      </c>
      <c r="B220" s="111" t="s">
        <v>314</v>
      </c>
      <c r="C220" s="112" t="s">
        <v>550</v>
      </c>
      <c r="D220" s="113">
        <v>15900.0</v>
      </c>
    </row>
    <row r="221">
      <c r="A221" s="110" t="s">
        <v>180</v>
      </c>
      <c r="B221" s="111" t="s">
        <v>314</v>
      </c>
      <c r="C221" s="112" t="s">
        <v>552</v>
      </c>
      <c r="D221" s="113">
        <v>12500.0</v>
      </c>
    </row>
    <row r="222">
      <c r="A222" s="110" t="s">
        <v>180</v>
      </c>
      <c r="B222" s="111" t="s">
        <v>314</v>
      </c>
      <c r="C222" s="112" t="s">
        <v>556</v>
      </c>
      <c r="D222" s="113">
        <v>12500.0</v>
      </c>
    </row>
    <row r="223">
      <c r="A223" s="110" t="s">
        <v>180</v>
      </c>
      <c r="B223" s="111" t="s">
        <v>314</v>
      </c>
      <c r="C223" s="112" t="s">
        <v>554</v>
      </c>
      <c r="D223" s="113">
        <v>15900.0</v>
      </c>
    </row>
    <row r="224">
      <c r="A224" s="110" t="s">
        <v>180</v>
      </c>
      <c r="B224" s="111" t="s">
        <v>314</v>
      </c>
      <c r="C224" s="112" t="s">
        <v>558</v>
      </c>
      <c r="D224" s="113">
        <v>12500.0</v>
      </c>
    </row>
    <row r="225">
      <c r="A225" s="110" t="s">
        <v>180</v>
      </c>
      <c r="B225" s="111" t="s">
        <v>314</v>
      </c>
      <c r="C225" s="112" t="s">
        <v>560</v>
      </c>
      <c r="D225" s="113">
        <v>12500.0</v>
      </c>
    </row>
    <row r="226">
      <c r="A226" s="110" t="s">
        <v>180</v>
      </c>
      <c r="B226" s="111" t="s">
        <v>314</v>
      </c>
      <c r="C226" s="112" t="s">
        <v>566</v>
      </c>
      <c r="D226" s="113">
        <v>12500.0</v>
      </c>
    </row>
    <row r="227">
      <c r="A227" s="110" t="s">
        <v>180</v>
      </c>
      <c r="B227" s="111" t="s">
        <v>314</v>
      </c>
      <c r="C227" s="112" t="s">
        <v>562</v>
      </c>
      <c r="D227" s="113">
        <v>12500.0</v>
      </c>
    </row>
    <row r="228">
      <c r="A228" s="110" t="s">
        <v>180</v>
      </c>
      <c r="B228" s="111" t="s">
        <v>314</v>
      </c>
      <c r="C228" s="112" t="s">
        <v>568</v>
      </c>
      <c r="D228" s="113">
        <v>43750.0</v>
      </c>
    </row>
    <row r="229">
      <c r="A229" s="110" t="s">
        <v>180</v>
      </c>
      <c r="B229" s="111" t="s">
        <v>314</v>
      </c>
      <c r="C229" s="112" t="s">
        <v>570</v>
      </c>
      <c r="D229" s="113">
        <v>15900.0</v>
      </c>
    </row>
    <row r="230">
      <c r="A230" s="110" t="s">
        <v>180</v>
      </c>
      <c r="B230" s="111" t="s">
        <v>314</v>
      </c>
      <c r="C230" s="112" t="s">
        <v>574</v>
      </c>
      <c r="D230" s="113">
        <v>15900.0</v>
      </c>
    </row>
    <row r="231">
      <c r="A231" s="110" t="s">
        <v>180</v>
      </c>
      <c r="B231" s="111" t="s">
        <v>314</v>
      </c>
      <c r="C231" s="112" t="s">
        <v>572</v>
      </c>
      <c r="D231" s="113">
        <v>15900.0</v>
      </c>
    </row>
    <row r="232">
      <c r="A232" s="110" t="s">
        <v>180</v>
      </c>
      <c r="B232" s="111" t="s">
        <v>923</v>
      </c>
      <c r="C232" s="112" t="s">
        <v>1000</v>
      </c>
      <c r="D232" s="113">
        <v>34600.0</v>
      </c>
    </row>
    <row r="233">
      <c r="A233" s="110" t="s">
        <v>180</v>
      </c>
      <c r="B233" s="111" t="s">
        <v>923</v>
      </c>
      <c r="C233" s="112" t="s">
        <v>1001</v>
      </c>
      <c r="D233" s="113">
        <v>34600.0</v>
      </c>
    </row>
    <row r="234">
      <c r="A234" s="110" t="s">
        <v>180</v>
      </c>
      <c r="B234" s="111" t="s">
        <v>923</v>
      </c>
      <c r="C234" s="112" t="s">
        <v>1002</v>
      </c>
      <c r="D234" s="113">
        <v>35600.0</v>
      </c>
    </row>
    <row r="235">
      <c r="A235" s="110" t="s">
        <v>180</v>
      </c>
      <c r="B235" s="111" t="s">
        <v>314</v>
      </c>
      <c r="C235" s="112" t="s">
        <v>1003</v>
      </c>
      <c r="D235" s="113">
        <v>57650.0</v>
      </c>
    </row>
    <row r="236">
      <c r="A236" s="110" t="s">
        <v>180</v>
      </c>
      <c r="B236" s="111" t="s">
        <v>314</v>
      </c>
      <c r="C236" s="112" t="s">
        <v>576</v>
      </c>
      <c r="D236" s="113">
        <v>57650.0</v>
      </c>
    </row>
    <row r="237">
      <c r="A237" s="110" t="s">
        <v>180</v>
      </c>
      <c r="B237" s="111" t="s">
        <v>314</v>
      </c>
      <c r="C237" s="112" t="s">
        <v>1004</v>
      </c>
      <c r="D237" s="113">
        <v>17900.0</v>
      </c>
    </row>
    <row r="238">
      <c r="A238" s="110" t="s">
        <v>180</v>
      </c>
      <c r="B238" s="111" t="s">
        <v>923</v>
      </c>
      <c r="C238" s="112" t="s">
        <v>582</v>
      </c>
      <c r="D238" s="113">
        <v>57650.0</v>
      </c>
    </row>
    <row r="239">
      <c r="A239" s="110" t="s">
        <v>180</v>
      </c>
      <c r="B239" s="111" t="s">
        <v>923</v>
      </c>
      <c r="C239" s="112" t="s">
        <v>1005</v>
      </c>
      <c r="D239" s="113">
        <v>57650.0</v>
      </c>
    </row>
    <row r="240">
      <c r="A240" s="110" t="s">
        <v>180</v>
      </c>
      <c r="B240" s="111" t="s">
        <v>923</v>
      </c>
      <c r="C240" s="112" t="s">
        <v>1006</v>
      </c>
      <c r="D240" s="113">
        <v>57650.0</v>
      </c>
    </row>
    <row r="241">
      <c r="A241" s="110" t="s">
        <v>180</v>
      </c>
      <c r="B241" s="111" t="s">
        <v>314</v>
      </c>
      <c r="C241" s="112" t="s">
        <v>584</v>
      </c>
      <c r="D241" s="113">
        <v>17600.0</v>
      </c>
    </row>
    <row r="242">
      <c r="A242" s="110" t="s">
        <v>180</v>
      </c>
      <c r="B242" s="111" t="s">
        <v>314</v>
      </c>
      <c r="C242" s="112" t="s">
        <v>586</v>
      </c>
      <c r="D242" s="113">
        <v>20800.0</v>
      </c>
    </row>
    <row r="243">
      <c r="A243" s="110" t="s">
        <v>180</v>
      </c>
      <c r="B243" s="111" t="s">
        <v>314</v>
      </c>
      <c r="C243" s="112" t="s">
        <v>588</v>
      </c>
      <c r="D243" s="113">
        <v>17600.0</v>
      </c>
    </row>
    <row r="244">
      <c r="A244" s="110" t="s">
        <v>180</v>
      </c>
      <c r="B244" s="111" t="s">
        <v>314</v>
      </c>
      <c r="C244" s="112" t="s">
        <v>590</v>
      </c>
      <c r="D244" s="113">
        <v>16000.0</v>
      </c>
    </row>
    <row r="245">
      <c r="A245" s="110" t="s">
        <v>180</v>
      </c>
      <c r="B245" s="111" t="s">
        <v>314</v>
      </c>
      <c r="C245" s="112" t="s">
        <v>594</v>
      </c>
      <c r="D245" s="113">
        <v>18900.0</v>
      </c>
    </row>
    <row r="246">
      <c r="A246" s="110" t="s">
        <v>180</v>
      </c>
      <c r="B246" s="111" t="s">
        <v>314</v>
      </c>
      <c r="C246" s="112" t="s">
        <v>596</v>
      </c>
      <c r="D246" s="113">
        <v>35600.0</v>
      </c>
    </row>
    <row r="247">
      <c r="A247" s="110" t="s">
        <v>180</v>
      </c>
      <c r="B247" s="111" t="s">
        <v>314</v>
      </c>
      <c r="C247" s="112" t="s">
        <v>598</v>
      </c>
      <c r="D247" s="113">
        <v>22800.0</v>
      </c>
    </row>
    <row r="248">
      <c r="A248" s="110" t="s">
        <v>180</v>
      </c>
      <c r="B248" s="111" t="s">
        <v>314</v>
      </c>
      <c r="C248" s="112" t="s">
        <v>600</v>
      </c>
      <c r="D248" s="113">
        <v>27000.0</v>
      </c>
    </row>
    <row r="249">
      <c r="A249" s="110" t="s">
        <v>180</v>
      </c>
      <c r="B249" s="111" t="s">
        <v>314</v>
      </c>
      <c r="C249" s="112" t="s">
        <v>602</v>
      </c>
      <c r="D249" s="113">
        <v>27000.0</v>
      </c>
    </row>
    <row r="250">
      <c r="A250" s="110" t="s">
        <v>180</v>
      </c>
      <c r="B250" s="111" t="s">
        <v>314</v>
      </c>
      <c r="C250" s="112" t="s">
        <v>604</v>
      </c>
      <c r="D250" s="113">
        <v>35600.0</v>
      </c>
    </row>
    <row r="251">
      <c r="A251" s="110" t="s">
        <v>180</v>
      </c>
      <c r="B251" s="111" t="s">
        <v>314</v>
      </c>
      <c r="C251" s="112" t="s">
        <v>606</v>
      </c>
      <c r="D251" s="113">
        <v>55380.0</v>
      </c>
    </row>
    <row r="252">
      <c r="A252" s="110" t="s">
        <v>180</v>
      </c>
      <c r="B252" s="111" t="s">
        <v>314</v>
      </c>
      <c r="C252" s="112" t="s">
        <v>608</v>
      </c>
      <c r="D252" s="113">
        <v>17600.0</v>
      </c>
    </row>
    <row r="253">
      <c r="A253" s="110" t="s">
        <v>180</v>
      </c>
      <c r="B253" s="111" t="s">
        <v>314</v>
      </c>
      <c r="C253" s="112" t="s">
        <v>610</v>
      </c>
      <c r="D253" s="113">
        <v>69100.0</v>
      </c>
    </row>
    <row r="254">
      <c r="A254" s="110" t="s">
        <v>180</v>
      </c>
      <c r="B254" s="111" t="s">
        <v>314</v>
      </c>
      <c r="C254" s="112" t="s">
        <v>1007</v>
      </c>
      <c r="D254" s="113">
        <v>47650.0</v>
      </c>
    </row>
    <row r="255">
      <c r="A255" s="110" t="s">
        <v>180</v>
      </c>
      <c r="B255" s="111" t="s">
        <v>314</v>
      </c>
      <c r="C255" s="112" t="s">
        <v>612</v>
      </c>
      <c r="D255" s="113">
        <v>17600.0</v>
      </c>
    </row>
    <row r="256">
      <c r="A256" s="110" t="s">
        <v>180</v>
      </c>
      <c r="B256" s="111" t="s">
        <v>955</v>
      </c>
      <c r="C256" s="112" t="s">
        <v>616</v>
      </c>
      <c r="D256" s="113">
        <v>26800.0</v>
      </c>
    </row>
    <row r="257">
      <c r="A257" s="110" t="s">
        <v>180</v>
      </c>
      <c r="B257" s="111" t="s">
        <v>955</v>
      </c>
      <c r="C257" s="112" t="s">
        <v>618</v>
      </c>
      <c r="D257" s="113">
        <v>26800.0</v>
      </c>
    </row>
    <row r="258">
      <c r="A258" s="110" t="s">
        <v>180</v>
      </c>
      <c r="B258" s="111" t="s">
        <v>955</v>
      </c>
      <c r="C258" s="112" t="s">
        <v>1008</v>
      </c>
      <c r="D258" s="113">
        <v>26800.0</v>
      </c>
    </row>
    <row r="259">
      <c r="A259" s="110" t="s">
        <v>180</v>
      </c>
      <c r="B259" s="111" t="s">
        <v>955</v>
      </c>
      <c r="C259" s="112" t="s">
        <v>623</v>
      </c>
      <c r="D259" s="113">
        <v>71700.0</v>
      </c>
    </row>
    <row r="260">
      <c r="A260" s="110" t="s">
        <v>180</v>
      </c>
      <c r="B260" s="111" t="s">
        <v>955</v>
      </c>
      <c r="C260" s="112" t="s">
        <v>621</v>
      </c>
      <c r="D260" s="113">
        <v>71700.0</v>
      </c>
    </row>
    <row r="261">
      <c r="A261" s="110" t="s">
        <v>180</v>
      </c>
      <c r="B261" s="111" t="s">
        <v>955</v>
      </c>
      <c r="C261" s="112" t="s">
        <v>1009</v>
      </c>
      <c r="D261" s="113">
        <v>26800.0</v>
      </c>
    </row>
    <row r="262">
      <c r="A262" s="110" t="s">
        <v>180</v>
      </c>
      <c r="B262" s="111" t="s">
        <v>955</v>
      </c>
      <c r="C262" s="112" t="s">
        <v>629</v>
      </c>
      <c r="D262" s="113">
        <v>71700.0</v>
      </c>
    </row>
    <row r="263">
      <c r="A263" s="110" t="s">
        <v>180</v>
      </c>
      <c r="B263" s="111" t="s">
        <v>955</v>
      </c>
      <c r="C263" s="112" t="s">
        <v>627</v>
      </c>
      <c r="D263" s="113">
        <v>71700.0</v>
      </c>
    </row>
    <row r="264">
      <c r="A264" s="110" t="s">
        <v>180</v>
      </c>
      <c r="B264" s="111" t="s">
        <v>955</v>
      </c>
      <c r="C264" s="112" t="s">
        <v>534</v>
      </c>
      <c r="D264" s="113">
        <v>114500.0</v>
      </c>
    </row>
    <row r="265">
      <c r="A265" s="110" t="s">
        <v>180</v>
      </c>
      <c r="B265" s="111" t="s">
        <v>955</v>
      </c>
      <c r="C265" s="112" t="s">
        <v>632</v>
      </c>
      <c r="D265" s="113">
        <v>71700.0</v>
      </c>
    </row>
    <row r="266">
      <c r="A266" s="110" t="s">
        <v>180</v>
      </c>
      <c r="B266" s="111" t="s">
        <v>955</v>
      </c>
      <c r="C266" s="112" t="s">
        <v>614</v>
      </c>
      <c r="D266" s="113">
        <v>71700.0</v>
      </c>
    </row>
    <row r="267">
      <c r="A267" s="110" t="s">
        <v>180</v>
      </c>
      <c r="B267" s="111" t="s">
        <v>955</v>
      </c>
      <c r="C267" s="112" t="s">
        <v>634</v>
      </c>
      <c r="D267" s="113">
        <v>71700.0</v>
      </c>
    </row>
    <row r="268">
      <c r="A268" s="110" t="s">
        <v>180</v>
      </c>
      <c r="B268" s="111" t="s">
        <v>955</v>
      </c>
      <c r="C268" s="112" t="s">
        <v>636</v>
      </c>
      <c r="D268" s="113">
        <v>26800.0</v>
      </c>
    </row>
    <row r="269">
      <c r="A269" s="110" t="s">
        <v>180</v>
      </c>
      <c r="B269" s="111" t="s">
        <v>955</v>
      </c>
      <c r="C269" s="112" t="s">
        <v>641</v>
      </c>
      <c r="D269" s="113">
        <v>71700.0</v>
      </c>
    </row>
    <row r="270">
      <c r="A270" s="110" t="s">
        <v>180</v>
      </c>
      <c r="B270" s="111" t="s">
        <v>955</v>
      </c>
      <c r="C270" s="112" t="s">
        <v>639</v>
      </c>
      <c r="D270" s="113">
        <v>71700.0</v>
      </c>
    </row>
    <row r="271">
      <c r="A271" s="110" t="s">
        <v>180</v>
      </c>
      <c r="B271" s="111" t="s">
        <v>955</v>
      </c>
      <c r="C271" s="112" t="s">
        <v>645</v>
      </c>
      <c r="D271" s="113">
        <v>26800.0</v>
      </c>
    </row>
    <row r="272">
      <c r="A272" s="110" t="s">
        <v>180</v>
      </c>
      <c r="B272" s="111" t="s">
        <v>955</v>
      </c>
      <c r="C272" s="112" t="s">
        <v>649</v>
      </c>
      <c r="D272" s="113">
        <v>71700.0</v>
      </c>
    </row>
    <row r="273">
      <c r="A273" s="110" t="s">
        <v>180</v>
      </c>
      <c r="B273" s="111" t="s">
        <v>955</v>
      </c>
      <c r="C273" s="112" t="s">
        <v>647</v>
      </c>
      <c r="D273" s="113">
        <v>71700.0</v>
      </c>
    </row>
    <row r="274">
      <c r="A274" s="110" t="s">
        <v>180</v>
      </c>
      <c r="B274" s="111" t="s">
        <v>955</v>
      </c>
      <c r="C274" s="112" t="s">
        <v>351</v>
      </c>
      <c r="D274" s="113">
        <v>71700.0</v>
      </c>
    </row>
    <row r="275">
      <c r="A275" s="110" t="s">
        <v>180</v>
      </c>
      <c r="B275" s="111" t="s">
        <v>955</v>
      </c>
      <c r="C275" s="112" t="s">
        <v>653</v>
      </c>
      <c r="D275" s="113">
        <v>71700.0</v>
      </c>
    </row>
    <row r="276">
      <c r="A276" s="110" t="s">
        <v>180</v>
      </c>
      <c r="B276" s="111" t="s">
        <v>955</v>
      </c>
      <c r="C276" s="112" t="s">
        <v>1010</v>
      </c>
      <c r="D276" s="113">
        <v>26800.0</v>
      </c>
    </row>
    <row r="277">
      <c r="A277" s="110" t="s">
        <v>180</v>
      </c>
      <c r="B277" s="111" t="s">
        <v>955</v>
      </c>
      <c r="C277" s="112" t="s">
        <v>658</v>
      </c>
      <c r="D277" s="113">
        <v>71700.0</v>
      </c>
    </row>
    <row r="278">
      <c r="A278" s="110" t="s">
        <v>180</v>
      </c>
      <c r="B278" s="111" t="s">
        <v>955</v>
      </c>
      <c r="C278" s="112" t="s">
        <v>662</v>
      </c>
      <c r="D278" s="113">
        <v>71700.0</v>
      </c>
    </row>
    <row r="279">
      <c r="A279" s="110" t="s">
        <v>180</v>
      </c>
      <c r="B279" s="111" t="s">
        <v>955</v>
      </c>
      <c r="C279" s="112" t="s">
        <v>1011</v>
      </c>
      <c r="D279" s="113">
        <v>150700.0</v>
      </c>
    </row>
    <row r="280">
      <c r="A280" s="110" t="s">
        <v>180</v>
      </c>
      <c r="B280" s="111" t="s">
        <v>955</v>
      </c>
      <c r="C280" s="112" t="s">
        <v>1012</v>
      </c>
      <c r="D280" s="113">
        <v>150700.0</v>
      </c>
    </row>
    <row r="281">
      <c r="A281" s="110" t="s">
        <v>180</v>
      </c>
      <c r="B281" s="111" t="s">
        <v>955</v>
      </c>
      <c r="C281" s="112" t="s">
        <v>668</v>
      </c>
      <c r="D281" s="113">
        <v>150700.0</v>
      </c>
    </row>
    <row r="282">
      <c r="A282" s="110" t="s">
        <v>180</v>
      </c>
      <c r="B282" s="111" t="s">
        <v>955</v>
      </c>
      <c r="C282" s="112" t="s">
        <v>670</v>
      </c>
      <c r="D282" s="113">
        <v>150700.0</v>
      </c>
    </row>
    <row r="283">
      <c r="A283" s="110" t="s">
        <v>180</v>
      </c>
      <c r="B283" s="111" t="s">
        <v>955</v>
      </c>
      <c r="C283" s="112" t="s">
        <v>672</v>
      </c>
      <c r="D283" s="113">
        <v>112500.0</v>
      </c>
    </row>
    <row r="284">
      <c r="A284" s="110" t="s">
        <v>180</v>
      </c>
      <c r="B284" s="111" t="s">
        <v>955</v>
      </c>
      <c r="C284" s="112" t="s">
        <v>674</v>
      </c>
      <c r="D284" s="113">
        <v>150700.0</v>
      </c>
    </row>
    <row r="285">
      <c r="A285" s="110" t="s">
        <v>180</v>
      </c>
      <c r="B285" s="111" t="s">
        <v>955</v>
      </c>
      <c r="C285" s="112" t="s">
        <v>678</v>
      </c>
      <c r="D285" s="113">
        <v>150700.0</v>
      </c>
    </row>
    <row r="286">
      <c r="A286" s="110" t="s">
        <v>180</v>
      </c>
      <c r="B286" s="111" t="s">
        <v>955</v>
      </c>
      <c r="C286" s="112" t="s">
        <v>680</v>
      </c>
      <c r="D286" s="113">
        <v>150700.0</v>
      </c>
    </row>
    <row r="287">
      <c r="A287" s="110" t="s">
        <v>180</v>
      </c>
      <c r="B287" s="111" t="s">
        <v>955</v>
      </c>
      <c r="C287" s="112" t="s">
        <v>682</v>
      </c>
      <c r="D287" s="113">
        <v>150700.0</v>
      </c>
    </row>
    <row r="288">
      <c r="A288" s="110" t="s">
        <v>180</v>
      </c>
      <c r="B288" s="111" t="s">
        <v>955</v>
      </c>
      <c r="C288" s="117" t="s">
        <v>684</v>
      </c>
      <c r="D288" s="113">
        <v>150700.0</v>
      </c>
    </row>
    <row r="289">
      <c r="A289" s="110" t="s">
        <v>180</v>
      </c>
      <c r="B289" s="111" t="s">
        <v>955</v>
      </c>
      <c r="C289" s="117" t="s">
        <v>686</v>
      </c>
      <c r="D289" s="113">
        <v>150700.0</v>
      </c>
    </row>
    <row r="290">
      <c r="A290" s="110" t="s">
        <v>180</v>
      </c>
      <c r="B290" s="111" t="s">
        <v>955</v>
      </c>
      <c r="C290" s="112" t="s">
        <v>688</v>
      </c>
      <c r="D290" s="113">
        <v>150700.0</v>
      </c>
    </row>
    <row r="291">
      <c r="A291" s="110" t="s">
        <v>180</v>
      </c>
      <c r="B291" s="111" t="s">
        <v>955</v>
      </c>
      <c r="C291" s="112" t="s">
        <v>1013</v>
      </c>
      <c r="D291" s="113">
        <v>150700.0</v>
      </c>
    </row>
    <row r="292">
      <c r="A292" s="110" t="s">
        <v>180</v>
      </c>
      <c r="B292" s="111" t="s">
        <v>955</v>
      </c>
      <c r="C292" s="112" t="s">
        <v>692</v>
      </c>
      <c r="D292" s="113">
        <v>150700.0</v>
      </c>
    </row>
    <row r="293">
      <c r="A293" s="110" t="s">
        <v>180</v>
      </c>
      <c r="B293" s="111" t="s">
        <v>955</v>
      </c>
      <c r="C293" s="112" t="s">
        <v>1014</v>
      </c>
      <c r="D293" s="113">
        <v>150700.0</v>
      </c>
    </row>
    <row r="294">
      <c r="A294" s="110" t="s">
        <v>180</v>
      </c>
      <c r="B294" s="111" t="s">
        <v>955</v>
      </c>
      <c r="C294" s="112" t="s">
        <v>1015</v>
      </c>
      <c r="D294" s="113">
        <v>150700.0</v>
      </c>
    </row>
    <row r="295">
      <c r="A295" s="110" t="s">
        <v>180</v>
      </c>
      <c r="B295" s="111" t="s">
        <v>955</v>
      </c>
      <c r="C295" s="112" t="s">
        <v>695</v>
      </c>
      <c r="D295" s="113">
        <v>150700.0</v>
      </c>
    </row>
    <row r="296">
      <c r="A296" s="110" t="s">
        <v>180</v>
      </c>
      <c r="B296" s="111" t="s">
        <v>955</v>
      </c>
      <c r="C296" s="112" t="s">
        <v>696</v>
      </c>
      <c r="D296" s="113">
        <v>150700.0</v>
      </c>
    </row>
    <row r="297">
      <c r="A297" s="110" t="s">
        <v>180</v>
      </c>
      <c r="B297" s="111" t="s">
        <v>955</v>
      </c>
      <c r="C297" s="112" t="s">
        <v>1016</v>
      </c>
      <c r="D297" s="113">
        <v>150700.0</v>
      </c>
    </row>
    <row r="298">
      <c r="A298" s="110" t="s">
        <v>180</v>
      </c>
      <c r="B298" s="111" t="s">
        <v>955</v>
      </c>
      <c r="C298" s="112" t="s">
        <v>698</v>
      </c>
      <c r="D298" s="113">
        <v>150700.0</v>
      </c>
    </row>
    <row r="299">
      <c r="A299" s="110" t="s">
        <v>180</v>
      </c>
      <c r="B299" s="111" t="s">
        <v>955</v>
      </c>
      <c r="C299" s="112" t="s">
        <v>700</v>
      </c>
      <c r="D299" s="113">
        <v>112500.0</v>
      </c>
    </row>
    <row r="300">
      <c r="A300" s="110" t="s">
        <v>180</v>
      </c>
      <c r="B300" s="111" t="s">
        <v>955</v>
      </c>
      <c r="C300" s="112" t="s">
        <v>704</v>
      </c>
      <c r="D300" s="113">
        <v>150700.0</v>
      </c>
    </row>
    <row r="301">
      <c r="A301" s="110" t="s">
        <v>180</v>
      </c>
      <c r="B301" s="111" t="s">
        <v>955</v>
      </c>
      <c r="C301" s="112" t="s">
        <v>706</v>
      </c>
      <c r="D301" s="113">
        <v>150700.0</v>
      </c>
    </row>
    <row r="302">
      <c r="A302" s="110" t="s">
        <v>180</v>
      </c>
      <c r="B302" s="111" t="s">
        <v>955</v>
      </c>
      <c r="C302" s="112" t="s">
        <v>708</v>
      </c>
      <c r="D302" s="113">
        <v>150700.0</v>
      </c>
    </row>
    <row r="303">
      <c r="A303" s="110" t="s">
        <v>180</v>
      </c>
      <c r="B303" s="111" t="s">
        <v>955</v>
      </c>
      <c r="C303" s="112" t="s">
        <v>709</v>
      </c>
      <c r="D303" s="113">
        <v>150700.0</v>
      </c>
    </row>
    <row r="304">
      <c r="A304" s="110" t="s">
        <v>180</v>
      </c>
      <c r="B304" s="111" t="s">
        <v>955</v>
      </c>
      <c r="C304" s="112" t="s">
        <v>711</v>
      </c>
      <c r="D304" s="113">
        <v>150700.0</v>
      </c>
    </row>
    <row r="305">
      <c r="A305" s="110" t="s">
        <v>180</v>
      </c>
      <c r="B305" s="111" t="s">
        <v>955</v>
      </c>
      <c r="C305" s="112" t="s">
        <v>713</v>
      </c>
      <c r="D305" s="113">
        <v>150700.0</v>
      </c>
    </row>
    <row r="306">
      <c r="A306" s="110" t="s">
        <v>180</v>
      </c>
      <c r="B306" s="111" t="s">
        <v>955</v>
      </c>
      <c r="C306" s="112" t="s">
        <v>715</v>
      </c>
      <c r="D306" s="113">
        <v>150700.0</v>
      </c>
    </row>
    <row r="307">
      <c r="A307" s="110" t="s">
        <v>180</v>
      </c>
      <c r="B307" s="111" t="s">
        <v>955</v>
      </c>
      <c r="C307" s="112" t="s">
        <v>1017</v>
      </c>
      <c r="D307" s="113">
        <v>150700.0</v>
      </c>
    </row>
    <row r="308">
      <c r="A308" s="110" t="s">
        <v>180</v>
      </c>
      <c r="B308" s="111" t="s">
        <v>955</v>
      </c>
      <c r="C308" s="112" t="s">
        <v>717</v>
      </c>
      <c r="D308" s="113">
        <v>150700.0</v>
      </c>
    </row>
    <row r="309">
      <c r="A309" s="110" t="s">
        <v>180</v>
      </c>
      <c r="B309" s="111" t="s">
        <v>955</v>
      </c>
      <c r="C309" s="112" t="s">
        <v>1018</v>
      </c>
      <c r="D309" s="113">
        <v>150700.0</v>
      </c>
    </row>
    <row r="310">
      <c r="A310" s="110" t="s">
        <v>180</v>
      </c>
      <c r="B310" s="111" t="s">
        <v>955</v>
      </c>
      <c r="C310" s="112" t="s">
        <v>1019</v>
      </c>
      <c r="D310" s="113">
        <v>150700.0</v>
      </c>
    </row>
    <row r="311">
      <c r="A311" s="110" t="s">
        <v>180</v>
      </c>
      <c r="B311" s="111" t="s">
        <v>955</v>
      </c>
      <c r="C311" s="112" t="s">
        <v>723</v>
      </c>
      <c r="D311" s="113">
        <v>150700.0</v>
      </c>
    </row>
    <row r="312">
      <c r="A312" s="110" t="s">
        <v>180</v>
      </c>
      <c r="B312" s="111" t="s">
        <v>955</v>
      </c>
      <c r="C312" s="112" t="s">
        <v>721</v>
      </c>
      <c r="D312" s="113">
        <v>150700.0</v>
      </c>
    </row>
    <row r="313">
      <c r="A313" s="110" t="s">
        <v>180</v>
      </c>
      <c r="B313" s="111" t="s">
        <v>955</v>
      </c>
      <c r="C313" s="112" t="s">
        <v>1020</v>
      </c>
      <c r="D313" s="113">
        <v>150700.0</v>
      </c>
    </row>
    <row r="314">
      <c r="A314" s="110" t="s">
        <v>180</v>
      </c>
      <c r="B314" s="111" t="s">
        <v>955</v>
      </c>
      <c r="C314" s="112" t="s">
        <v>724</v>
      </c>
      <c r="D314" s="113">
        <v>150700.0</v>
      </c>
    </row>
    <row r="315">
      <c r="A315" s="110" t="s">
        <v>180</v>
      </c>
      <c r="B315" s="111" t="s">
        <v>955</v>
      </c>
      <c r="C315" s="112" t="s">
        <v>726</v>
      </c>
      <c r="D315" s="113">
        <v>150700.0</v>
      </c>
    </row>
    <row r="316">
      <c r="A316" s="110" t="s">
        <v>180</v>
      </c>
      <c r="B316" s="111" t="s">
        <v>955</v>
      </c>
      <c r="C316" s="112" t="s">
        <v>727</v>
      </c>
      <c r="D316" s="113">
        <v>150700.0</v>
      </c>
    </row>
    <row r="317">
      <c r="A317" s="110" t="s">
        <v>180</v>
      </c>
      <c r="B317" s="111" t="s">
        <v>955</v>
      </c>
      <c r="C317" s="112" t="s">
        <v>734</v>
      </c>
      <c r="D317" s="113">
        <v>150700.0</v>
      </c>
    </row>
    <row r="318">
      <c r="A318" s="110" t="s">
        <v>180</v>
      </c>
      <c r="B318" s="111" t="s">
        <v>955</v>
      </c>
      <c r="C318" s="112" t="s">
        <v>736</v>
      </c>
      <c r="D318" s="113">
        <v>150700.0</v>
      </c>
    </row>
    <row r="319">
      <c r="A319" s="110" t="s">
        <v>180</v>
      </c>
      <c r="B319" s="111" t="s">
        <v>955</v>
      </c>
      <c r="C319" s="112" t="s">
        <v>737</v>
      </c>
      <c r="D319" s="113">
        <v>150700.0</v>
      </c>
    </row>
    <row r="320">
      <c r="A320" s="110" t="s">
        <v>180</v>
      </c>
      <c r="B320" s="111" t="s">
        <v>955</v>
      </c>
      <c r="C320" s="112" t="s">
        <v>741</v>
      </c>
      <c r="D320" s="113">
        <v>150700.0</v>
      </c>
    </row>
    <row r="321">
      <c r="A321" s="110" t="s">
        <v>180</v>
      </c>
      <c r="B321" s="111" t="s">
        <v>955</v>
      </c>
      <c r="C321" s="112" t="s">
        <v>739</v>
      </c>
      <c r="D321" s="113">
        <v>150700.0</v>
      </c>
    </row>
    <row r="322">
      <c r="A322" s="110" t="s">
        <v>180</v>
      </c>
      <c r="B322" s="111" t="s">
        <v>955</v>
      </c>
      <c r="C322" s="112" t="s">
        <v>745</v>
      </c>
      <c r="D322" s="113">
        <v>150700.0</v>
      </c>
    </row>
    <row r="323">
      <c r="A323" s="110" t="s">
        <v>180</v>
      </c>
      <c r="B323" s="111" t="s">
        <v>955</v>
      </c>
      <c r="C323" s="112" t="s">
        <v>747</v>
      </c>
      <c r="D323" s="113">
        <v>39100.0</v>
      </c>
    </row>
    <row r="324">
      <c r="A324" s="110" t="s">
        <v>180</v>
      </c>
      <c r="B324" s="111" t="s">
        <v>955</v>
      </c>
      <c r="C324" s="112" t="s">
        <v>749</v>
      </c>
      <c r="D324" s="113">
        <v>71700.0</v>
      </c>
    </row>
    <row r="325">
      <c r="A325" s="110" t="s">
        <v>180</v>
      </c>
      <c r="B325" s="111" t="s">
        <v>955</v>
      </c>
      <c r="C325" s="112" t="s">
        <v>751</v>
      </c>
      <c r="D325" s="113">
        <v>71700.0</v>
      </c>
    </row>
    <row r="326">
      <c r="A326" s="110" t="s">
        <v>180</v>
      </c>
      <c r="B326" s="111" t="s">
        <v>955</v>
      </c>
      <c r="C326" s="112" t="s">
        <v>754</v>
      </c>
      <c r="D326" s="113">
        <v>39100.0</v>
      </c>
    </row>
    <row r="327">
      <c r="A327" s="110" t="s">
        <v>180</v>
      </c>
      <c r="B327" s="111" t="s">
        <v>955</v>
      </c>
      <c r="C327" s="112" t="s">
        <v>1021</v>
      </c>
      <c r="D327" s="113">
        <v>71700.0</v>
      </c>
    </row>
    <row r="328">
      <c r="A328" s="110" t="s">
        <v>180</v>
      </c>
      <c r="B328" s="111" t="s">
        <v>955</v>
      </c>
      <c r="C328" s="112" t="s">
        <v>21</v>
      </c>
      <c r="D328" s="113">
        <v>71700.0</v>
      </c>
    </row>
    <row r="329">
      <c r="A329" s="110" t="s">
        <v>180</v>
      </c>
      <c r="B329" s="111" t="s">
        <v>955</v>
      </c>
      <c r="C329" s="112" t="s">
        <v>1022</v>
      </c>
      <c r="D329" s="113">
        <v>38000.0</v>
      </c>
    </row>
    <row r="330">
      <c r="A330" s="110" t="s">
        <v>180</v>
      </c>
      <c r="B330" s="111" t="s">
        <v>955</v>
      </c>
      <c r="C330" s="112" t="s">
        <v>759</v>
      </c>
      <c r="D330" s="113">
        <v>71700.0</v>
      </c>
    </row>
    <row r="331">
      <c r="A331" s="110" t="s">
        <v>180</v>
      </c>
      <c r="B331" s="111" t="s">
        <v>955</v>
      </c>
      <c r="C331" s="112" t="s">
        <v>763</v>
      </c>
      <c r="D331" s="113">
        <v>39100.0</v>
      </c>
    </row>
    <row r="332">
      <c r="A332" s="110" t="s">
        <v>180</v>
      </c>
      <c r="B332" s="111" t="s">
        <v>955</v>
      </c>
      <c r="C332" s="112" t="s">
        <v>761</v>
      </c>
      <c r="D332" s="113">
        <v>39100.0</v>
      </c>
    </row>
    <row r="333">
      <c r="A333" s="110" t="s">
        <v>180</v>
      </c>
      <c r="B333" s="111" t="s">
        <v>955</v>
      </c>
      <c r="C333" s="112" t="s">
        <v>1023</v>
      </c>
      <c r="D333" s="113">
        <v>71700.0</v>
      </c>
    </row>
    <row r="334">
      <c r="A334" s="110" t="s">
        <v>180</v>
      </c>
      <c r="B334" s="111" t="s">
        <v>955</v>
      </c>
      <c r="C334" s="112" t="s">
        <v>448</v>
      </c>
      <c r="D334" s="113">
        <v>183400.0</v>
      </c>
    </row>
    <row r="335">
      <c r="A335" s="110" t="s">
        <v>180</v>
      </c>
      <c r="B335" s="111" t="s">
        <v>955</v>
      </c>
      <c r="C335" s="112" t="s">
        <v>765</v>
      </c>
      <c r="D335" s="113">
        <v>39100.0</v>
      </c>
    </row>
    <row r="336">
      <c r="A336" s="110" t="s">
        <v>180</v>
      </c>
      <c r="B336" s="111" t="s">
        <v>955</v>
      </c>
      <c r="C336" s="112" t="s">
        <v>769</v>
      </c>
      <c r="D336" s="113">
        <v>71700.0</v>
      </c>
    </row>
    <row r="337">
      <c r="A337" s="110" t="s">
        <v>180</v>
      </c>
      <c r="B337" s="111" t="s">
        <v>955</v>
      </c>
      <c r="C337" s="112" t="s">
        <v>770</v>
      </c>
      <c r="D337" s="113">
        <v>179500.0</v>
      </c>
    </row>
    <row r="338">
      <c r="A338" s="110" t="s">
        <v>180</v>
      </c>
      <c r="B338" s="111" t="s">
        <v>955</v>
      </c>
      <c r="C338" s="112" t="s">
        <v>772</v>
      </c>
      <c r="D338" s="113">
        <v>38000.0</v>
      </c>
    </row>
    <row r="339">
      <c r="A339" s="110" t="s">
        <v>180</v>
      </c>
      <c r="B339" s="111" t="s">
        <v>955</v>
      </c>
      <c r="C339" s="112" t="s">
        <v>1024</v>
      </c>
      <c r="D339" s="113">
        <v>38000.0</v>
      </c>
    </row>
    <row r="340">
      <c r="A340" s="110" t="s">
        <v>180</v>
      </c>
      <c r="B340" s="111" t="s">
        <v>955</v>
      </c>
      <c r="C340" s="112" t="s">
        <v>774</v>
      </c>
      <c r="D340" s="113">
        <v>71700.0</v>
      </c>
    </row>
    <row r="341">
      <c r="A341" s="110" t="s">
        <v>180</v>
      </c>
      <c r="B341" s="111" t="s">
        <v>955</v>
      </c>
      <c r="C341" s="112" t="s">
        <v>1025</v>
      </c>
      <c r="D341" s="113">
        <v>179500.0</v>
      </c>
    </row>
    <row r="342">
      <c r="A342" s="110" t="s">
        <v>180</v>
      </c>
      <c r="B342" s="111" t="s">
        <v>955</v>
      </c>
      <c r="C342" s="116" t="s">
        <v>776</v>
      </c>
      <c r="D342" s="113">
        <v>150700.0</v>
      </c>
    </row>
    <row r="343">
      <c r="A343" s="110" t="s">
        <v>180</v>
      </c>
      <c r="B343" s="111" t="s">
        <v>955</v>
      </c>
      <c r="C343" s="108" t="s">
        <v>780</v>
      </c>
      <c r="D343" s="113">
        <v>150700.0</v>
      </c>
    </row>
    <row r="344">
      <c r="A344" s="110" t="s">
        <v>180</v>
      </c>
      <c r="B344" s="111" t="s">
        <v>955</v>
      </c>
      <c r="C344" s="112" t="s">
        <v>782</v>
      </c>
      <c r="D344" s="113">
        <v>150700.0</v>
      </c>
    </row>
    <row r="345">
      <c r="A345" s="110" t="s">
        <v>180</v>
      </c>
      <c r="B345" s="111" t="s">
        <v>955</v>
      </c>
      <c r="C345" s="112" t="s">
        <v>784</v>
      </c>
      <c r="D345" s="113">
        <v>114500.0</v>
      </c>
    </row>
    <row r="346">
      <c r="A346" s="110" t="s">
        <v>180</v>
      </c>
      <c r="B346" s="111" t="s">
        <v>955</v>
      </c>
      <c r="C346" s="112" t="s">
        <v>786</v>
      </c>
      <c r="D346" s="113">
        <v>114500.0</v>
      </c>
    </row>
    <row r="347">
      <c r="A347" s="110" t="s">
        <v>180</v>
      </c>
      <c r="B347" s="111" t="s">
        <v>955</v>
      </c>
      <c r="C347" s="112" t="s">
        <v>790</v>
      </c>
      <c r="D347" s="113">
        <v>71700.0</v>
      </c>
    </row>
    <row r="348">
      <c r="A348" s="110" t="s">
        <v>180</v>
      </c>
      <c r="B348" s="111" t="s">
        <v>955</v>
      </c>
      <c r="C348" s="112" t="s">
        <v>1026</v>
      </c>
      <c r="D348" s="113">
        <v>114500.0</v>
      </c>
    </row>
    <row r="349">
      <c r="A349" s="110" t="s">
        <v>180</v>
      </c>
      <c r="B349" s="111" t="s">
        <v>955</v>
      </c>
      <c r="C349" s="112" t="s">
        <v>1027</v>
      </c>
      <c r="D349" s="113">
        <v>114500.0</v>
      </c>
    </row>
    <row r="350">
      <c r="A350" s="110" t="s">
        <v>180</v>
      </c>
      <c r="B350" s="111" t="s">
        <v>955</v>
      </c>
      <c r="C350" s="112" t="s">
        <v>1028</v>
      </c>
      <c r="D350" s="113">
        <v>114500.0</v>
      </c>
    </row>
    <row r="351">
      <c r="A351" s="110" t="s">
        <v>180</v>
      </c>
      <c r="B351" s="111" t="s">
        <v>955</v>
      </c>
      <c r="C351" s="117" t="s">
        <v>1029</v>
      </c>
      <c r="D351" s="113">
        <v>150700.0</v>
      </c>
    </row>
    <row r="352">
      <c r="A352" s="110" t="s">
        <v>180</v>
      </c>
      <c r="B352" s="111" t="s">
        <v>955</v>
      </c>
      <c r="C352" s="112" t="s">
        <v>1030</v>
      </c>
      <c r="D352" s="113">
        <v>114500.0</v>
      </c>
    </row>
    <row r="353">
      <c r="A353" s="110" t="s">
        <v>180</v>
      </c>
      <c r="B353" s="111" t="s">
        <v>955</v>
      </c>
      <c r="C353" s="112" t="s">
        <v>1031</v>
      </c>
      <c r="D353" s="113">
        <v>114500.0</v>
      </c>
    </row>
    <row r="354">
      <c r="A354" s="110" t="s">
        <v>180</v>
      </c>
      <c r="B354" s="111" t="s">
        <v>955</v>
      </c>
      <c r="C354" s="112" t="s">
        <v>1032</v>
      </c>
      <c r="D354" s="113">
        <v>114500.0</v>
      </c>
    </row>
    <row r="355">
      <c r="A355" s="110" t="s">
        <v>180</v>
      </c>
      <c r="B355" s="111" t="s">
        <v>955</v>
      </c>
      <c r="C355" s="112" t="s">
        <v>797</v>
      </c>
      <c r="D355" s="113">
        <v>114500.0</v>
      </c>
    </row>
    <row r="356">
      <c r="A356" s="110" t="s">
        <v>180</v>
      </c>
      <c r="B356" s="111" t="s">
        <v>955</v>
      </c>
      <c r="C356" s="112" t="s">
        <v>1033</v>
      </c>
      <c r="D356" s="113">
        <v>114500.0</v>
      </c>
    </row>
    <row r="357">
      <c r="A357" s="110" t="s">
        <v>180</v>
      </c>
      <c r="B357" s="111" t="s">
        <v>955</v>
      </c>
      <c r="C357" s="112" t="s">
        <v>1034</v>
      </c>
      <c r="D357" s="113">
        <v>114500.0</v>
      </c>
    </row>
    <row r="358">
      <c r="A358" s="110" t="s">
        <v>180</v>
      </c>
      <c r="B358" s="111" t="s">
        <v>955</v>
      </c>
      <c r="C358" s="112" t="s">
        <v>795</v>
      </c>
      <c r="D358" s="113">
        <v>114500.0</v>
      </c>
    </row>
    <row r="359">
      <c r="A359" s="110" t="s">
        <v>180</v>
      </c>
      <c r="B359" s="111" t="s">
        <v>955</v>
      </c>
      <c r="C359" s="112" t="s">
        <v>1035</v>
      </c>
      <c r="D359" s="113">
        <v>372000.0</v>
      </c>
    </row>
    <row r="360">
      <c r="A360" s="110" t="s">
        <v>180</v>
      </c>
      <c r="B360" s="111" t="s">
        <v>955</v>
      </c>
      <c r="C360" s="112" t="s">
        <v>1036</v>
      </c>
      <c r="D360" s="113">
        <v>372000.0</v>
      </c>
    </row>
    <row r="361">
      <c r="A361" s="110" t="s">
        <v>180</v>
      </c>
      <c r="B361" s="111" t="s">
        <v>955</v>
      </c>
      <c r="C361" s="112" t="s">
        <v>1037</v>
      </c>
      <c r="D361" s="113">
        <v>372000.0</v>
      </c>
    </row>
    <row r="362">
      <c r="A362" s="110" t="s">
        <v>180</v>
      </c>
      <c r="B362" s="111" t="s">
        <v>955</v>
      </c>
      <c r="C362" s="112" t="s">
        <v>1038</v>
      </c>
      <c r="D362" s="113">
        <v>372000.0</v>
      </c>
    </row>
    <row r="363">
      <c r="A363" s="110" t="s">
        <v>180</v>
      </c>
      <c r="B363" s="111" t="s">
        <v>955</v>
      </c>
      <c r="C363" s="112" t="s">
        <v>1039</v>
      </c>
      <c r="D363" s="113">
        <v>372000.0</v>
      </c>
    </row>
    <row r="364">
      <c r="A364" s="110" t="s">
        <v>180</v>
      </c>
      <c r="B364" s="111" t="s">
        <v>955</v>
      </c>
      <c r="C364" s="112" t="s">
        <v>1040</v>
      </c>
      <c r="D364" s="113">
        <v>372000.0</v>
      </c>
    </row>
    <row r="365">
      <c r="A365" s="110" t="s">
        <v>180</v>
      </c>
      <c r="B365" s="111" t="s">
        <v>955</v>
      </c>
      <c r="C365" s="112" t="s">
        <v>1041</v>
      </c>
      <c r="D365" s="113">
        <v>504000.0</v>
      </c>
    </row>
    <row r="366">
      <c r="A366" s="110" t="s">
        <v>180</v>
      </c>
      <c r="B366" s="111" t="s">
        <v>955</v>
      </c>
      <c r="C366" s="112" t="s">
        <v>1042</v>
      </c>
      <c r="D366" s="113">
        <v>504000.0</v>
      </c>
    </row>
    <row r="367">
      <c r="A367" s="110" t="s">
        <v>180</v>
      </c>
      <c r="B367" s="111" t="s">
        <v>955</v>
      </c>
      <c r="C367" s="112" t="s">
        <v>856</v>
      </c>
      <c r="D367" s="113">
        <v>623500.0</v>
      </c>
    </row>
    <row r="368">
      <c r="A368" s="110" t="s">
        <v>180</v>
      </c>
      <c r="B368" s="111" t="s">
        <v>955</v>
      </c>
      <c r="C368" s="112" t="s">
        <v>1043</v>
      </c>
      <c r="D368" s="113">
        <v>372000.0</v>
      </c>
    </row>
    <row r="369">
      <c r="A369" s="110" t="s">
        <v>180</v>
      </c>
      <c r="B369" s="111" t="s">
        <v>955</v>
      </c>
      <c r="C369" s="112" t="s">
        <v>806</v>
      </c>
      <c r="D369" s="113">
        <v>150700.0</v>
      </c>
    </row>
    <row r="370">
      <c r="A370" s="110" t="s">
        <v>180</v>
      </c>
      <c r="B370" s="111" t="s">
        <v>955</v>
      </c>
      <c r="C370" s="112" t="s">
        <v>1044</v>
      </c>
      <c r="D370" s="113">
        <v>150700.0</v>
      </c>
    </row>
    <row r="371">
      <c r="A371" s="110" t="s">
        <v>180</v>
      </c>
      <c r="B371" s="111" t="s">
        <v>955</v>
      </c>
      <c r="C371" s="112" t="s">
        <v>808</v>
      </c>
      <c r="D371" s="113">
        <v>150700.0</v>
      </c>
    </row>
    <row r="372">
      <c r="A372" s="110" t="s">
        <v>180</v>
      </c>
      <c r="B372" s="111" t="s">
        <v>955</v>
      </c>
      <c r="C372" s="112" t="s">
        <v>810</v>
      </c>
      <c r="D372" s="113">
        <v>150700.0</v>
      </c>
    </row>
    <row r="373">
      <c r="A373" s="110" t="s">
        <v>180</v>
      </c>
      <c r="B373" s="111" t="s">
        <v>955</v>
      </c>
      <c r="C373" s="112" t="s">
        <v>814</v>
      </c>
      <c r="D373" s="113">
        <v>150700.0</v>
      </c>
    </row>
    <row r="374">
      <c r="A374" s="110" t="s">
        <v>180</v>
      </c>
      <c r="B374" s="111" t="s">
        <v>955</v>
      </c>
      <c r="C374" s="112" t="s">
        <v>858</v>
      </c>
      <c r="D374" s="113">
        <v>150700.0</v>
      </c>
    </row>
    <row r="375">
      <c r="A375" s="110" t="s">
        <v>180</v>
      </c>
      <c r="B375" s="111" t="s">
        <v>955</v>
      </c>
      <c r="C375" s="112" t="s">
        <v>861</v>
      </c>
      <c r="D375" s="113">
        <v>246200.0</v>
      </c>
    </row>
    <row r="376">
      <c r="A376" s="110" t="s">
        <v>180</v>
      </c>
      <c r="B376" s="111" t="s">
        <v>955</v>
      </c>
      <c r="C376" s="112" t="s">
        <v>816</v>
      </c>
      <c r="D376" s="113">
        <v>150700.0</v>
      </c>
    </row>
    <row r="377">
      <c r="A377" s="110" t="s">
        <v>180</v>
      </c>
      <c r="B377" s="111" t="s">
        <v>955</v>
      </c>
      <c r="C377" s="112" t="s">
        <v>1045</v>
      </c>
      <c r="D377" s="113">
        <v>150700.0</v>
      </c>
    </row>
    <row r="378">
      <c r="A378" s="110" t="s">
        <v>180</v>
      </c>
      <c r="B378" s="111" t="s">
        <v>955</v>
      </c>
      <c r="C378" s="112" t="s">
        <v>820</v>
      </c>
      <c r="D378" s="113">
        <v>150700.0</v>
      </c>
    </row>
    <row r="379">
      <c r="A379" s="110" t="s">
        <v>180</v>
      </c>
      <c r="B379" s="111" t="s">
        <v>955</v>
      </c>
      <c r="C379" s="112" t="s">
        <v>822</v>
      </c>
      <c r="D379" s="113">
        <v>150700.0</v>
      </c>
    </row>
    <row r="380">
      <c r="A380" s="110" t="s">
        <v>180</v>
      </c>
      <c r="B380" s="111" t="s">
        <v>955</v>
      </c>
      <c r="C380" s="112" t="s">
        <v>826</v>
      </c>
      <c r="D380" s="113">
        <v>150700.0</v>
      </c>
    </row>
    <row r="381">
      <c r="A381" s="110" t="s">
        <v>180</v>
      </c>
      <c r="B381" s="111" t="s">
        <v>955</v>
      </c>
      <c r="C381" s="112" t="s">
        <v>52</v>
      </c>
      <c r="D381" s="113">
        <v>26800.0</v>
      </c>
    </row>
    <row r="382">
      <c r="A382" s="110" t="s">
        <v>180</v>
      </c>
      <c r="B382" s="111" t="s">
        <v>955</v>
      </c>
      <c r="C382" s="112" t="s">
        <v>828</v>
      </c>
      <c r="D382" s="113">
        <v>26800.0</v>
      </c>
    </row>
    <row r="383">
      <c r="A383" s="110" t="s">
        <v>180</v>
      </c>
      <c r="B383" s="111" t="s">
        <v>955</v>
      </c>
      <c r="C383" s="112" t="s">
        <v>830</v>
      </c>
      <c r="D383" s="113">
        <v>71700.0</v>
      </c>
    </row>
    <row r="384">
      <c r="A384" s="110" t="s">
        <v>180</v>
      </c>
      <c r="B384" s="111" t="s">
        <v>955</v>
      </c>
      <c r="C384" s="112" t="s">
        <v>832</v>
      </c>
      <c r="D384" s="113">
        <v>26800.0</v>
      </c>
    </row>
    <row r="385">
      <c r="A385" s="110" t="s">
        <v>180</v>
      </c>
      <c r="B385" s="111" t="s">
        <v>955</v>
      </c>
      <c r="C385" s="112" t="s">
        <v>834</v>
      </c>
      <c r="D385" s="113">
        <v>26800.0</v>
      </c>
    </row>
    <row r="386">
      <c r="A386" s="110" t="s">
        <v>180</v>
      </c>
      <c r="B386" s="111" t="s">
        <v>955</v>
      </c>
      <c r="C386" s="116" t="s">
        <v>836</v>
      </c>
      <c r="D386" s="113">
        <v>71700.0</v>
      </c>
    </row>
    <row r="387">
      <c r="A387" s="110" t="s">
        <v>180</v>
      </c>
      <c r="B387" s="111" t="s">
        <v>955</v>
      </c>
      <c r="C387" s="116" t="s">
        <v>838</v>
      </c>
      <c r="D387" s="113">
        <v>26800.0</v>
      </c>
    </row>
    <row r="388">
      <c r="A388" s="118" t="s">
        <v>180</v>
      </c>
      <c r="B388" s="119" t="s">
        <v>955</v>
      </c>
      <c r="C388" s="122" t="s">
        <v>840</v>
      </c>
      <c r="D388" s="121">
        <v>71700.0</v>
      </c>
    </row>
  </sheetData>
  <mergeCells count="3">
    <mergeCell ref="A1:A2"/>
    <mergeCell ref="B1:B2"/>
    <mergeCell ref="C1:C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8.38"/>
    <col customWidth="1" min="3" max="3" width="7.63"/>
    <col customWidth="1" min="4" max="4" width="20.25"/>
    <col customWidth="1" min="5" max="5" width="14.38"/>
  </cols>
  <sheetData>
    <row r="1">
      <c r="A1" s="80" t="s">
        <v>182</v>
      </c>
      <c r="B1" s="80" t="s">
        <v>174</v>
      </c>
      <c r="C1" s="80" t="s">
        <v>175</v>
      </c>
      <c r="D1" s="80" t="s">
        <v>176</v>
      </c>
      <c r="E1" s="81" t="s">
        <v>183</v>
      </c>
      <c r="F1" s="1" t="s">
        <v>184</v>
      </c>
    </row>
    <row r="2">
      <c r="A2" s="82" t="s">
        <v>185</v>
      </c>
      <c r="B2" s="82" t="s">
        <v>72</v>
      </c>
      <c r="C2" s="82" t="s">
        <v>186</v>
      </c>
      <c r="D2" s="82" t="s">
        <v>187</v>
      </c>
      <c r="E2" s="83" t="str">
        <f t="shared" ref="E2:E62" si="1">if(C2="YL","Ni",if(C2="GP","GP",if(C2="RACING","IX",if(C2="IL","IX",if(C2="IX","IX",if(C2="PL","IX","NONE"))))))</f>
        <v>Ni</v>
      </c>
      <c r="F2" s="84">
        <v>76200.0</v>
      </c>
    </row>
    <row r="3">
      <c r="A3" s="85" t="s">
        <v>188</v>
      </c>
      <c r="B3" s="85" t="s">
        <v>72</v>
      </c>
      <c r="C3" s="86" t="s">
        <v>186</v>
      </c>
      <c r="D3" s="86" t="s">
        <v>189</v>
      </c>
      <c r="E3" s="85" t="str">
        <f t="shared" si="1"/>
        <v>Ni</v>
      </c>
      <c r="F3" s="84">
        <v>15900.0</v>
      </c>
    </row>
    <row r="4">
      <c r="A4" s="85" t="s">
        <v>190</v>
      </c>
      <c r="B4" s="85" t="s">
        <v>72</v>
      </c>
      <c r="C4" s="87" t="s">
        <v>186</v>
      </c>
      <c r="D4" s="87" t="s">
        <v>191</v>
      </c>
      <c r="E4" s="85" t="str">
        <f t="shared" si="1"/>
        <v>Ni</v>
      </c>
      <c r="F4" s="84">
        <v>14200.0</v>
      </c>
    </row>
    <row r="5">
      <c r="A5" s="85" t="s">
        <v>192</v>
      </c>
      <c r="B5" s="85" t="s">
        <v>72</v>
      </c>
      <c r="C5" s="88" t="s">
        <v>186</v>
      </c>
      <c r="D5" s="88" t="s">
        <v>193</v>
      </c>
      <c r="E5" s="85" t="str">
        <f t="shared" si="1"/>
        <v>Ni</v>
      </c>
      <c r="F5" s="84">
        <v>15900.0</v>
      </c>
    </row>
    <row r="6">
      <c r="A6" s="85" t="s">
        <v>194</v>
      </c>
      <c r="B6" s="85" t="s">
        <v>72</v>
      </c>
      <c r="C6" s="87" t="s">
        <v>186</v>
      </c>
      <c r="D6" s="87" t="s">
        <v>195</v>
      </c>
      <c r="E6" s="85" t="str">
        <f t="shared" si="1"/>
        <v>Ni</v>
      </c>
      <c r="F6" s="84">
        <v>15900.0</v>
      </c>
    </row>
    <row r="7">
      <c r="A7" s="85" t="s">
        <v>196</v>
      </c>
      <c r="B7" s="85" t="s">
        <v>72</v>
      </c>
      <c r="C7" s="88" t="s">
        <v>186</v>
      </c>
      <c r="D7" s="88" t="s">
        <v>197</v>
      </c>
      <c r="E7" s="85" t="str">
        <f t="shared" si="1"/>
        <v>Ni</v>
      </c>
      <c r="F7" s="84">
        <v>15900.0</v>
      </c>
    </row>
    <row r="8">
      <c r="A8" s="85" t="s">
        <v>198</v>
      </c>
      <c r="B8" s="85" t="s">
        <v>72</v>
      </c>
      <c r="C8" s="87" t="s">
        <v>186</v>
      </c>
      <c r="D8" s="87" t="s">
        <v>199</v>
      </c>
      <c r="E8" s="85" t="str">
        <f t="shared" si="1"/>
        <v>Ni</v>
      </c>
      <c r="F8" s="84">
        <v>15900.0</v>
      </c>
    </row>
    <row r="9">
      <c r="A9" s="85" t="s">
        <v>200</v>
      </c>
      <c r="B9" s="85" t="s">
        <v>72</v>
      </c>
      <c r="C9" s="88" t="s">
        <v>186</v>
      </c>
      <c r="D9" s="88" t="s">
        <v>201</v>
      </c>
      <c r="E9" s="85" t="str">
        <f t="shared" si="1"/>
        <v>Ni</v>
      </c>
      <c r="F9" s="84">
        <v>37000.0</v>
      </c>
    </row>
    <row r="10">
      <c r="A10" s="89" t="s">
        <v>202</v>
      </c>
      <c r="B10" s="85" t="s">
        <v>72</v>
      </c>
      <c r="C10" s="88" t="s">
        <v>186</v>
      </c>
      <c r="D10" s="90" t="s">
        <v>203</v>
      </c>
      <c r="E10" s="85" t="str">
        <f t="shared" si="1"/>
        <v>Ni</v>
      </c>
      <c r="F10" s="84">
        <v>37000.0</v>
      </c>
    </row>
    <row r="11">
      <c r="A11" s="85" t="s">
        <v>204</v>
      </c>
      <c r="B11" s="85" t="s">
        <v>72</v>
      </c>
      <c r="C11" s="87" t="s">
        <v>186</v>
      </c>
      <c r="D11" s="87" t="s">
        <v>205</v>
      </c>
      <c r="E11" s="85" t="str">
        <f t="shared" si="1"/>
        <v>Ni</v>
      </c>
      <c r="F11" s="84">
        <v>15900.0</v>
      </c>
    </row>
    <row r="12">
      <c r="A12" s="85" t="s">
        <v>206</v>
      </c>
      <c r="B12" s="85" t="s">
        <v>72</v>
      </c>
      <c r="C12" s="88" t="s">
        <v>186</v>
      </c>
      <c r="D12" s="88" t="s">
        <v>207</v>
      </c>
      <c r="E12" s="85" t="str">
        <f t="shared" si="1"/>
        <v>Ni</v>
      </c>
      <c r="F12" s="84">
        <v>15900.0</v>
      </c>
    </row>
    <row r="13">
      <c r="A13" s="85" t="s">
        <v>208</v>
      </c>
      <c r="B13" s="85" t="s">
        <v>72</v>
      </c>
      <c r="C13" s="87" t="s">
        <v>186</v>
      </c>
      <c r="D13" s="87" t="s">
        <v>209</v>
      </c>
      <c r="E13" s="85" t="str">
        <f t="shared" si="1"/>
        <v>Ni</v>
      </c>
      <c r="F13" s="84">
        <v>15900.0</v>
      </c>
    </row>
    <row r="14">
      <c r="A14" s="85" t="s">
        <v>210</v>
      </c>
      <c r="B14" s="85" t="s">
        <v>72</v>
      </c>
      <c r="C14" s="88" t="s">
        <v>186</v>
      </c>
      <c r="D14" s="88" t="s">
        <v>211</v>
      </c>
      <c r="E14" s="85" t="str">
        <f t="shared" si="1"/>
        <v>Ni</v>
      </c>
      <c r="F14" s="84">
        <v>15900.0</v>
      </c>
    </row>
    <row r="15">
      <c r="A15" s="85" t="s">
        <v>212</v>
      </c>
      <c r="B15" s="85" t="s">
        <v>72</v>
      </c>
      <c r="C15" s="87" t="s">
        <v>186</v>
      </c>
      <c r="D15" s="87" t="s">
        <v>213</v>
      </c>
      <c r="E15" s="85" t="str">
        <f t="shared" si="1"/>
        <v>Ni</v>
      </c>
      <c r="F15" s="84">
        <v>15900.0</v>
      </c>
    </row>
    <row r="16">
      <c r="A16" s="85" t="s">
        <v>214</v>
      </c>
      <c r="B16" s="85" t="s">
        <v>72</v>
      </c>
      <c r="C16" s="88" t="s">
        <v>186</v>
      </c>
      <c r="D16" s="88" t="s">
        <v>215</v>
      </c>
      <c r="E16" s="85" t="str">
        <f t="shared" si="1"/>
        <v>Ni</v>
      </c>
      <c r="F16" s="84">
        <v>14200.0</v>
      </c>
    </row>
    <row r="17">
      <c r="A17" s="85" t="s">
        <v>216</v>
      </c>
      <c r="B17" s="85" t="s">
        <v>72</v>
      </c>
      <c r="C17" s="87" t="s">
        <v>186</v>
      </c>
      <c r="D17" s="87" t="s">
        <v>217</v>
      </c>
      <c r="E17" s="85" t="str">
        <f t="shared" si="1"/>
        <v>Ni</v>
      </c>
      <c r="F17" s="84">
        <v>13100.0</v>
      </c>
    </row>
    <row r="18">
      <c r="A18" s="85" t="s">
        <v>218</v>
      </c>
      <c r="B18" s="85" t="s">
        <v>72</v>
      </c>
      <c r="C18" s="88" t="s">
        <v>186</v>
      </c>
      <c r="D18" s="88" t="s">
        <v>219</v>
      </c>
      <c r="E18" s="85" t="str">
        <f t="shared" si="1"/>
        <v>Ni</v>
      </c>
      <c r="F18" s="84">
        <v>14200.0</v>
      </c>
    </row>
    <row r="19">
      <c r="A19" s="85" t="s">
        <v>220</v>
      </c>
      <c r="B19" s="85" t="s">
        <v>72</v>
      </c>
      <c r="C19" s="87" t="s">
        <v>186</v>
      </c>
      <c r="D19" s="87" t="s">
        <v>221</v>
      </c>
      <c r="E19" s="85" t="str">
        <f t="shared" si="1"/>
        <v>Ni</v>
      </c>
      <c r="F19" s="84">
        <v>14200.0</v>
      </c>
    </row>
    <row r="20">
      <c r="A20" s="85" t="s">
        <v>222</v>
      </c>
      <c r="B20" s="85" t="s">
        <v>72</v>
      </c>
      <c r="C20" s="88" t="s">
        <v>186</v>
      </c>
      <c r="D20" s="88" t="s">
        <v>223</v>
      </c>
      <c r="E20" s="85" t="str">
        <f t="shared" si="1"/>
        <v>Ni</v>
      </c>
      <c r="F20" s="84">
        <v>15900.0</v>
      </c>
    </row>
    <row r="21">
      <c r="A21" s="85" t="s">
        <v>224</v>
      </c>
      <c r="B21" s="85" t="s">
        <v>72</v>
      </c>
      <c r="C21" s="87" t="s">
        <v>186</v>
      </c>
      <c r="D21" s="87" t="s">
        <v>225</v>
      </c>
      <c r="E21" s="85" t="str">
        <f t="shared" si="1"/>
        <v>Ni</v>
      </c>
      <c r="F21" s="84">
        <v>12900.0</v>
      </c>
    </row>
    <row r="22">
      <c r="A22" s="85" t="s">
        <v>226</v>
      </c>
      <c r="B22" s="85" t="s">
        <v>72</v>
      </c>
      <c r="C22" s="88" t="s">
        <v>186</v>
      </c>
      <c r="D22" s="88" t="s">
        <v>227</v>
      </c>
      <c r="E22" s="85" t="str">
        <f t="shared" si="1"/>
        <v>Ni</v>
      </c>
      <c r="F22" s="84">
        <v>43750.0</v>
      </c>
    </row>
    <row r="23">
      <c r="A23" s="85" t="s">
        <v>228</v>
      </c>
      <c r="B23" s="85" t="s">
        <v>72</v>
      </c>
      <c r="C23" s="87" t="s">
        <v>186</v>
      </c>
      <c r="D23" s="87" t="s">
        <v>229</v>
      </c>
      <c r="E23" s="85" t="str">
        <f t="shared" si="1"/>
        <v>Ni</v>
      </c>
      <c r="F23" s="84">
        <v>14200.0</v>
      </c>
    </row>
    <row r="24">
      <c r="A24" s="85" t="s">
        <v>230</v>
      </c>
      <c r="B24" s="85" t="s">
        <v>72</v>
      </c>
      <c r="C24" s="88" t="s">
        <v>186</v>
      </c>
      <c r="D24" s="88" t="s">
        <v>231</v>
      </c>
      <c r="E24" s="85" t="str">
        <f t="shared" si="1"/>
        <v>Ni</v>
      </c>
      <c r="F24" s="84">
        <v>34600.0</v>
      </c>
    </row>
    <row r="25">
      <c r="A25" s="85" t="s">
        <v>232</v>
      </c>
      <c r="B25" s="85" t="s">
        <v>72</v>
      </c>
      <c r="C25" s="87" t="s">
        <v>186</v>
      </c>
      <c r="D25" s="87" t="s">
        <v>233</v>
      </c>
      <c r="E25" s="85" t="str">
        <f t="shared" si="1"/>
        <v>Ni</v>
      </c>
      <c r="F25" s="84">
        <v>34600.0</v>
      </c>
    </row>
    <row r="26">
      <c r="A26" s="85" t="s">
        <v>234</v>
      </c>
      <c r="B26" s="85" t="s">
        <v>72</v>
      </c>
      <c r="C26" s="88" t="s">
        <v>186</v>
      </c>
      <c r="D26" s="88" t="s">
        <v>235</v>
      </c>
      <c r="E26" s="85" t="str">
        <f t="shared" si="1"/>
        <v>Ni</v>
      </c>
      <c r="F26" s="84">
        <v>12900.0</v>
      </c>
    </row>
    <row r="27">
      <c r="A27" s="85" t="s">
        <v>236</v>
      </c>
      <c r="B27" s="85" t="s">
        <v>72</v>
      </c>
      <c r="C27" s="87" t="s">
        <v>186</v>
      </c>
      <c r="D27" s="87" t="s">
        <v>237</v>
      </c>
      <c r="E27" s="85" t="str">
        <f t="shared" si="1"/>
        <v>Ni</v>
      </c>
      <c r="F27" s="84">
        <v>12900.0</v>
      </c>
    </row>
    <row r="28">
      <c r="A28" s="85" t="s">
        <v>238</v>
      </c>
      <c r="B28" s="85" t="s">
        <v>72</v>
      </c>
      <c r="C28" s="88" t="s">
        <v>186</v>
      </c>
      <c r="D28" s="88" t="s">
        <v>239</v>
      </c>
      <c r="E28" s="85" t="str">
        <f t="shared" si="1"/>
        <v>Ni</v>
      </c>
      <c r="F28" s="84">
        <v>12900.0</v>
      </c>
    </row>
    <row r="29">
      <c r="A29" s="85" t="s">
        <v>240</v>
      </c>
      <c r="B29" s="85" t="s">
        <v>72</v>
      </c>
      <c r="C29" s="87" t="s">
        <v>186</v>
      </c>
      <c r="D29" s="87" t="s">
        <v>241</v>
      </c>
      <c r="E29" s="85" t="str">
        <f t="shared" si="1"/>
        <v>Ni</v>
      </c>
      <c r="F29" s="84">
        <v>12900.0</v>
      </c>
    </row>
    <row r="30">
      <c r="A30" s="85" t="s">
        <v>242</v>
      </c>
      <c r="B30" s="85" t="s">
        <v>72</v>
      </c>
      <c r="C30" s="88" t="s">
        <v>186</v>
      </c>
      <c r="D30" s="88" t="s">
        <v>243</v>
      </c>
      <c r="E30" s="85" t="str">
        <f t="shared" si="1"/>
        <v>Ni</v>
      </c>
      <c r="F30" s="84">
        <v>49900.0</v>
      </c>
    </row>
    <row r="31">
      <c r="A31" s="85" t="s">
        <v>244</v>
      </c>
      <c r="B31" s="85" t="s">
        <v>72</v>
      </c>
      <c r="C31" s="87" t="s">
        <v>186</v>
      </c>
      <c r="D31" s="87" t="s">
        <v>245</v>
      </c>
      <c r="E31" s="85" t="str">
        <f t="shared" si="1"/>
        <v>Ni</v>
      </c>
      <c r="F31" s="84">
        <v>49900.0</v>
      </c>
    </row>
    <row r="32">
      <c r="A32" s="89" t="s">
        <v>246</v>
      </c>
      <c r="B32" s="85" t="s">
        <v>72</v>
      </c>
      <c r="C32" s="87" t="s">
        <v>186</v>
      </c>
      <c r="D32" s="90" t="s">
        <v>247</v>
      </c>
      <c r="E32" s="85" t="str">
        <f t="shared" si="1"/>
        <v>Ni</v>
      </c>
      <c r="F32" s="6">
        <v>49900.0</v>
      </c>
    </row>
    <row r="33">
      <c r="A33" s="85" t="s">
        <v>248</v>
      </c>
      <c r="B33" s="85" t="s">
        <v>72</v>
      </c>
      <c r="C33" s="88" t="s">
        <v>186</v>
      </c>
      <c r="D33" s="88" t="s">
        <v>249</v>
      </c>
      <c r="E33" s="85" t="str">
        <f t="shared" si="1"/>
        <v>Ni</v>
      </c>
      <c r="F33" s="84">
        <v>13900.0</v>
      </c>
    </row>
    <row r="34">
      <c r="A34" s="89" t="s">
        <v>250</v>
      </c>
      <c r="B34" s="85" t="s">
        <v>72</v>
      </c>
      <c r="C34" s="88" t="s">
        <v>186</v>
      </c>
      <c r="D34" s="91" t="s">
        <v>77</v>
      </c>
      <c r="E34" s="85" t="str">
        <f t="shared" si="1"/>
        <v>Ni</v>
      </c>
      <c r="F34" s="6">
        <v>15900.0</v>
      </c>
    </row>
    <row r="35">
      <c r="A35" s="85" t="s">
        <v>251</v>
      </c>
      <c r="B35" s="85" t="s">
        <v>72</v>
      </c>
      <c r="C35" s="87" t="s">
        <v>186</v>
      </c>
      <c r="D35" s="87" t="s">
        <v>252</v>
      </c>
      <c r="E35" s="85" t="str">
        <f t="shared" si="1"/>
        <v>Ni</v>
      </c>
      <c r="F35" s="84">
        <v>14200.0</v>
      </c>
    </row>
    <row r="36">
      <c r="A36" s="85" t="s">
        <v>253</v>
      </c>
      <c r="B36" s="85" t="s">
        <v>72</v>
      </c>
      <c r="C36" s="88" t="s">
        <v>186</v>
      </c>
      <c r="D36" s="88" t="s">
        <v>254</v>
      </c>
      <c r="E36" s="85" t="str">
        <f t="shared" si="1"/>
        <v>Ni</v>
      </c>
      <c r="F36" s="84">
        <v>14200.0</v>
      </c>
    </row>
    <row r="37">
      <c r="A37" s="85" t="s">
        <v>255</v>
      </c>
      <c r="B37" s="85" t="s">
        <v>72</v>
      </c>
      <c r="C37" s="87" t="s">
        <v>186</v>
      </c>
      <c r="D37" s="87" t="s">
        <v>256</v>
      </c>
      <c r="E37" s="85" t="str">
        <f t="shared" si="1"/>
        <v>Ni</v>
      </c>
      <c r="F37" s="84">
        <v>14200.0</v>
      </c>
    </row>
    <row r="38">
      <c r="A38" s="85" t="s">
        <v>257</v>
      </c>
      <c r="B38" s="85" t="s">
        <v>72</v>
      </c>
      <c r="C38" s="88" t="s">
        <v>186</v>
      </c>
      <c r="D38" s="88" t="s">
        <v>258</v>
      </c>
      <c r="E38" s="85" t="str">
        <f t="shared" si="1"/>
        <v>Ni</v>
      </c>
      <c r="F38" s="84">
        <v>115100.0</v>
      </c>
    </row>
    <row r="39">
      <c r="A39" s="89" t="s">
        <v>259</v>
      </c>
      <c r="B39" s="85" t="s">
        <v>72</v>
      </c>
      <c r="C39" s="88" t="s">
        <v>186</v>
      </c>
      <c r="D39" s="90" t="s">
        <v>260</v>
      </c>
      <c r="E39" s="85" t="str">
        <f t="shared" si="1"/>
        <v>Ni</v>
      </c>
      <c r="F39" s="84">
        <v>115100.0</v>
      </c>
    </row>
    <row r="40">
      <c r="A40" s="85" t="s">
        <v>261</v>
      </c>
      <c r="B40" s="85" t="s">
        <v>72</v>
      </c>
      <c r="C40" s="87" t="s">
        <v>186</v>
      </c>
      <c r="D40" s="87" t="s">
        <v>262</v>
      </c>
      <c r="E40" s="85" t="str">
        <f t="shared" si="1"/>
        <v>Ni</v>
      </c>
      <c r="F40" s="84">
        <v>14200.0</v>
      </c>
    </row>
    <row r="41">
      <c r="A41" s="85" t="s">
        <v>263</v>
      </c>
      <c r="B41" s="85" t="s">
        <v>72</v>
      </c>
      <c r="C41" s="88" t="s">
        <v>186</v>
      </c>
      <c r="D41" s="88" t="s">
        <v>264</v>
      </c>
      <c r="E41" s="85" t="str">
        <f t="shared" si="1"/>
        <v>Ni</v>
      </c>
      <c r="F41" s="84">
        <v>14200.0</v>
      </c>
    </row>
    <row r="42">
      <c r="A42" s="85" t="s">
        <v>265</v>
      </c>
      <c r="B42" s="85" t="s">
        <v>72</v>
      </c>
      <c r="C42" s="87" t="s">
        <v>186</v>
      </c>
      <c r="D42" s="87" t="s">
        <v>266</v>
      </c>
      <c r="E42" s="85" t="str">
        <f t="shared" si="1"/>
        <v>Ni</v>
      </c>
      <c r="F42" s="84">
        <v>14200.0</v>
      </c>
    </row>
    <row r="43">
      <c r="A43" s="85" t="s">
        <v>267</v>
      </c>
      <c r="B43" s="85" t="s">
        <v>72</v>
      </c>
      <c r="C43" s="88" t="s">
        <v>186</v>
      </c>
      <c r="D43" s="88" t="s">
        <v>268</v>
      </c>
      <c r="E43" s="85" t="str">
        <f t="shared" si="1"/>
        <v>Ni</v>
      </c>
      <c r="F43" s="84">
        <v>49000.0</v>
      </c>
    </row>
    <row r="44">
      <c r="A44" s="85" t="s">
        <v>269</v>
      </c>
      <c r="B44" s="85" t="s">
        <v>72</v>
      </c>
      <c r="C44" s="87" t="s">
        <v>186</v>
      </c>
      <c r="D44" s="87" t="s">
        <v>270</v>
      </c>
      <c r="E44" s="85" t="str">
        <f t="shared" si="1"/>
        <v>Ni</v>
      </c>
      <c r="F44" s="84">
        <v>14200.0</v>
      </c>
    </row>
    <row r="45">
      <c r="A45" s="85" t="s">
        <v>271</v>
      </c>
      <c r="B45" s="85" t="s">
        <v>72</v>
      </c>
      <c r="C45" s="88" t="s">
        <v>186</v>
      </c>
      <c r="D45" s="88" t="s">
        <v>272</v>
      </c>
      <c r="E45" s="85" t="str">
        <f t="shared" si="1"/>
        <v>Ni</v>
      </c>
      <c r="F45" s="84">
        <v>14200.0</v>
      </c>
    </row>
    <row r="46">
      <c r="A46" s="85" t="s">
        <v>275</v>
      </c>
      <c r="B46" s="85" t="s">
        <v>72</v>
      </c>
      <c r="C46" s="87" t="s">
        <v>186</v>
      </c>
      <c r="D46" s="87" t="s">
        <v>276</v>
      </c>
      <c r="E46" s="85" t="str">
        <f t="shared" si="1"/>
        <v>Ni</v>
      </c>
      <c r="F46" s="84">
        <v>53850.0</v>
      </c>
    </row>
    <row r="47">
      <c r="A47" s="89" t="s">
        <v>273</v>
      </c>
      <c r="B47" s="85" t="s">
        <v>72</v>
      </c>
      <c r="C47" s="88" t="s">
        <v>186</v>
      </c>
      <c r="D47" s="91" t="s">
        <v>274</v>
      </c>
      <c r="E47" s="85" t="str">
        <f t="shared" si="1"/>
        <v>Ni</v>
      </c>
      <c r="F47" s="6">
        <v>83900.0</v>
      </c>
    </row>
    <row r="48">
      <c r="A48" s="89" t="s">
        <v>279</v>
      </c>
      <c r="B48" s="85" t="s">
        <v>72</v>
      </c>
      <c r="C48" s="88" t="s">
        <v>186</v>
      </c>
      <c r="D48" s="91" t="s">
        <v>280</v>
      </c>
      <c r="E48" s="85" t="str">
        <f t="shared" si="1"/>
        <v>Ni</v>
      </c>
      <c r="F48" s="6">
        <v>49000.0</v>
      </c>
    </row>
    <row r="49">
      <c r="A49" s="85" t="s">
        <v>277</v>
      </c>
      <c r="B49" s="85" t="s">
        <v>72</v>
      </c>
      <c r="C49" s="88" t="s">
        <v>186</v>
      </c>
      <c r="D49" s="88" t="s">
        <v>278</v>
      </c>
      <c r="E49" s="85" t="str">
        <f t="shared" si="1"/>
        <v>Ni</v>
      </c>
      <c r="F49" s="84">
        <v>49000.0</v>
      </c>
    </row>
    <row r="50">
      <c r="A50" s="85" t="s">
        <v>281</v>
      </c>
      <c r="B50" s="85" t="s">
        <v>72</v>
      </c>
      <c r="C50" s="87" t="s">
        <v>186</v>
      </c>
      <c r="D50" s="87" t="s">
        <v>282</v>
      </c>
      <c r="E50" s="85" t="str">
        <f t="shared" si="1"/>
        <v>Ni</v>
      </c>
      <c r="F50" s="84">
        <v>14200.0</v>
      </c>
    </row>
    <row r="51">
      <c r="A51" s="85" t="s">
        <v>283</v>
      </c>
      <c r="B51" s="85" t="s">
        <v>72</v>
      </c>
      <c r="C51" s="88" t="s">
        <v>186</v>
      </c>
      <c r="D51" s="88" t="s">
        <v>284</v>
      </c>
      <c r="E51" s="85" t="str">
        <f t="shared" si="1"/>
        <v>Ni</v>
      </c>
      <c r="F51" s="84">
        <v>97100.0</v>
      </c>
    </row>
    <row r="52">
      <c r="A52" s="85" t="s">
        <v>285</v>
      </c>
      <c r="B52" s="85" t="s">
        <v>72</v>
      </c>
      <c r="C52" s="87" t="s">
        <v>186</v>
      </c>
      <c r="D52" s="87" t="s">
        <v>286</v>
      </c>
      <c r="E52" s="85" t="str">
        <f t="shared" si="1"/>
        <v>Ni</v>
      </c>
      <c r="F52" s="84">
        <v>13100.0</v>
      </c>
    </row>
    <row r="53">
      <c r="A53" s="85" t="s">
        <v>287</v>
      </c>
      <c r="B53" s="85" t="s">
        <v>72</v>
      </c>
      <c r="C53" s="88" t="s">
        <v>186</v>
      </c>
      <c r="D53" s="88" t="s">
        <v>288</v>
      </c>
      <c r="E53" s="85" t="str">
        <f t="shared" si="1"/>
        <v>Ni</v>
      </c>
      <c r="F53" s="84">
        <v>13100.0</v>
      </c>
    </row>
    <row r="54">
      <c r="A54" s="85" t="s">
        <v>289</v>
      </c>
      <c r="B54" s="85" t="s">
        <v>72</v>
      </c>
      <c r="C54" s="87" t="s">
        <v>186</v>
      </c>
      <c r="D54" s="87" t="s">
        <v>290</v>
      </c>
      <c r="E54" s="85" t="str">
        <f t="shared" si="1"/>
        <v>Ni</v>
      </c>
      <c r="F54" s="84">
        <v>14200.0</v>
      </c>
    </row>
    <row r="55">
      <c r="A55" s="85" t="s">
        <v>291</v>
      </c>
      <c r="B55" s="85" t="s">
        <v>72</v>
      </c>
      <c r="C55" s="88" t="s">
        <v>186</v>
      </c>
      <c r="D55" s="88" t="s">
        <v>292</v>
      </c>
      <c r="E55" s="85" t="str">
        <f t="shared" si="1"/>
        <v>Ni</v>
      </c>
      <c r="F55" s="84">
        <v>51100.0</v>
      </c>
    </row>
    <row r="56">
      <c r="A56" s="89" t="s">
        <v>293</v>
      </c>
      <c r="B56" s="85" t="s">
        <v>72</v>
      </c>
      <c r="C56" s="88" t="s">
        <v>186</v>
      </c>
      <c r="D56" s="90" t="s">
        <v>294</v>
      </c>
      <c r="E56" s="85" t="str">
        <f t="shared" si="1"/>
        <v>Ni</v>
      </c>
      <c r="F56" s="84">
        <v>51100.0</v>
      </c>
    </row>
    <row r="57">
      <c r="A57" s="85" t="s">
        <v>295</v>
      </c>
      <c r="B57" s="85" t="s">
        <v>72</v>
      </c>
      <c r="C57" s="87" t="s">
        <v>186</v>
      </c>
      <c r="D57" s="87" t="s">
        <v>296</v>
      </c>
      <c r="E57" s="85" t="str">
        <f t="shared" si="1"/>
        <v>Ni</v>
      </c>
      <c r="F57" s="84">
        <v>150700.0</v>
      </c>
    </row>
    <row r="58">
      <c r="A58" s="85" t="s">
        <v>297</v>
      </c>
      <c r="B58" s="85" t="s">
        <v>72</v>
      </c>
      <c r="C58" s="88" t="s">
        <v>186</v>
      </c>
      <c r="D58" s="88" t="s">
        <v>298</v>
      </c>
      <c r="E58" s="85" t="str">
        <f t="shared" si="1"/>
        <v>Ni</v>
      </c>
      <c r="F58" s="84">
        <v>51100.0</v>
      </c>
    </row>
    <row r="59">
      <c r="A59" s="82" t="s">
        <v>299</v>
      </c>
      <c r="B59" s="83" t="s">
        <v>72</v>
      </c>
      <c r="C59" s="83" t="s">
        <v>186</v>
      </c>
      <c r="D59" s="82" t="s">
        <v>300</v>
      </c>
      <c r="E59" s="83" t="str">
        <f t="shared" si="1"/>
        <v>Ni</v>
      </c>
      <c r="F59" s="84">
        <v>150700.0</v>
      </c>
    </row>
    <row r="60">
      <c r="A60" s="85" t="s">
        <v>301</v>
      </c>
      <c r="B60" s="85" t="s">
        <v>72</v>
      </c>
      <c r="C60" s="87" t="s">
        <v>186</v>
      </c>
      <c r="D60" s="87" t="s">
        <v>302</v>
      </c>
      <c r="E60" s="85" t="str">
        <f t="shared" si="1"/>
        <v>Ni</v>
      </c>
      <c r="F60" s="84">
        <v>150700.0</v>
      </c>
    </row>
    <row r="61">
      <c r="A61" s="85" t="s">
        <v>303</v>
      </c>
      <c r="B61" s="85" t="s">
        <v>72</v>
      </c>
      <c r="C61" s="88" t="s">
        <v>186</v>
      </c>
      <c r="D61" s="88" t="s">
        <v>304</v>
      </c>
      <c r="E61" s="85" t="str">
        <f t="shared" si="1"/>
        <v>Ni</v>
      </c>
      <c r="F61" s="84">
        <v>150700.0</v>
      </c>
    </row>
    <row r="62">
      <c r="A62" s="85" t="s">
        <v>306</v>
      </c>
      <c r="B62" s="85" t="s">
        <v>72</v>
      </c>
      <c r="C62" s="87" t="s">
        <v>186</v>
      </c>
      <c r="D62" s="87" t="s">
        <v>307</v>
      </c>
      <c r="E62" s="85" t="str">
        <f t="shared" si="1"/>
        <v>Ni</v>
      </c>
      <c r="F62" s="84">
        <v>150700.0</v>
      </c>
    </row>
    <row r="63">
      <c r="A63" s="89" t="s">
        <v>305</v>
      </c>
      <c r="B63" s="85" t="s">
        <v>72</v>
      </c>
      <c r="C63" s="88" t="s">
        <v>186</v>
      </c>
      <c r="D63" s="90" t="s">
        <v>71</v>
      </c>
      <c r="E63" s="85" t="s">
        <v>314</v>
      </c>
      <c r="F63" s="6">
        <v>222700.0</v>
      </c>
    </row>
    <row r="64">
      <c r="A64" s="85" t="s">
        <v>308</v>
      </c>
      <c r="B64" s="85" t="s">
        <v>72</v>
      </c>
      <c r="C64" s="88" t="s">
        <v>186</v>
      </c>
      <c r="D64" s="88" t="s">
        <v>309</v>
      </c>
      <c r="E64" s="85" t="str">
        <f t="shared" ref="E64:E66" si="2">if(C64="YL","Ni",if(C64="GP","GP",if(C64="RACING","IX",if(C64="IL","IX",if(C64="IX","IX",if(C64="PL","IX","NONE"))))))</f>
        <v>Ni</v>
      </c>
      <c r="F64" s="84">
        <v>150700.0</v>
      </c>
    </row>
    <row r="65">
      <c r="A65" s="82" t="s">
        <v>49</v>
      </c>
      <c r="B65" s="89" t="s">
        <v>72</v>
      </c>
      <c r="C65" s="91" t="s">
        <v>186</v>
      </c>
      <c r="D65" s="91" t="s">
        <v>50</v>
      </c>
      <c r="E65" s="85" t="str">
        <f t="shared" si="2"/>
        <v>Ni</v>
      </c>
      <c r="F65" s="84">
        <v>150700.0</v>
      </c>
    </row>
    <row r="66">
      <c r="A66" s="85" t="s">
        <v>310</v>
      </c>
      <c r="B66" s="85" t="s">
        <v>72</v>
      </c>
      <c r="C66" s="87" t="s">
        <v>186</v>
      </c>
      <c r="D66" s="87" t="s">
        <v>311</v>
      </c>
      <c r="E66" s="85" t="str">
        <f t="shared" si="2"/>
        <v>Ni</v>
      </c>
      <c r="F66" s="84">
        <v>18200.0</v>
      </c>
    </row>
    <row r="67">
      <c r="A67" s="89" t="s">
        <v>312</v>
      </c>
      <c r="B67" s="89" t="s">
        <v>72</v>
      </c>
      <c r="C67" s="90" t="s">
        <v>186</v>
      </c>
      <c r="D67" s="90" t="s">
        <v>313</v>
      </c>
      <c r="E67" s="89" t="s">
        <v>314</v>
      </c>
      <c r="F67" s="6">
        <v>18200.0</v>
      </c>
    </row>
    <row r="68">
      <c r="A68" s="85" t="s">
        <v>315</v>
      </c>
      <c r="B68" s="85" t="s">
        <v>72</v>
      </c>
      <c r="C68" s="88" t="s">
        <v>186</v>
      </c>
      <c r="D68" s="88" t="s">
        <v>316</v>
      </c>
      <c r="E68" s="85" t="str">
        <f t="shared" ref="E68:E429" si="3">if(C68="YL","Ni",if(C68="GP","GP",if(C68="RACING","IX",if(C68="IL","IX",if(C68="IX","IX",if(C68="PL","IX","NONE"))))))</f>
        <v>Ni</v>
      </c>
      <c r="F68" s="84">
        <v>20000.0</v>
      </c>
    </row>
    <row r="69">
      <c r="A69" s="85" t="s">
        <v>317</v>
      </c>
      <c r="B69" s="85" t="s">
        <v>72</v>
      </c>
      <c r="C69" s="87" t="s">
        <v>186</v>
      </c>
      <c r="D69" s="93" t="s">
        <v>318</v>
      </c>
      <c r="E69" s="85" t="str">
        <f t="shared" si="3"/>
        <v>Ni</v>
      </c>
      <c r="F69" s="84">
        <v>14200.0</v>
      </c>
    </row>
    <row r="70">
      <c r="A70" s="85" t="s">
        <v>319</v>
      </c>
      <c r="B70" s="85" t="s">
        <v>72</v>
      </c>
      <c r="C70" s="88" t="s">
        <v>186</v>
      </c>
      <c r="D70" s="93" t="s">
        <v>320</v>
      </c>
      <c r="E70" s="85" t="str">
        <f t="shared" si="3"/>
        <v>Ni</v>
      </c>
      <c r="F70" s="84">
        <v>14200.0</v>
      </c>
    </row>
    <row r="71">
      <c r="A71" s="85" t="s">
        <v>321</v>
      </c>
      <c r="B71" s="85" t="s">
        <v>72</v>
      </c>
      <c r="C71" s="87" t="s">
        <v>186</v>
      </c>
      <c r="D71" s="93" t="s">
        <v>322</v>
      </c>
      <c r="E71" s="85" t="str">
        <f t="shared" si="3"/>
        <v>Ni</v>
      </c>
      <c r="F71" s="84">
        <v>14200.0</v>
      </c>
    </row>
    <row r="72">
      <c r="A72" s="82" t="s">
        <v>323</v>
      </c>
      <c r="B72" s="83" t="s">
        <v>72</v>
      </c>
      <c r="C72" s="83" t="s">
        <v>186</v>
      </c>
      <c r="D72" s="82" t="s">
        <v>17</v>
      </c>
      <c r="E72" s="85" t="str">
        <f t="shared" si="3"/>
        <v>Ni</v>
      </c>
      <c r="F72" s="84">
        <v>14200.0</v>
      </c>
    </row>
    <row r="73">
      <c r="A73" s="82" t="s">
        <v>324</v>
      </c>
      <c r="B73" s="83" t="s">
        <v>72</v>
      </c>
      <c r="C73" s="83" t="s">
        <v>186</v>
      </c>
      <c r="D73" s="82" t="s">
        <v>19</v>
      </c>
      <c r="E73" s="85" t="str">
        <f t="shared" si="3"/>
        <v>Ni</v>
      </c>
      <c r="F73" s="84">
        <v>14200.0</v>
      </c>
    </row>
    <row r="74">
      <c r="A74" s="82" t="s">
        <v>325</v>
      </c>
      <c r="B74" s="83" t="s">
        <v>72</v>
      </c>
      <c r="C74" s="83" t="s">
        <v>186</v>
      </c>
      <c r="D74" s="82" t="s">
        <v>20</v>
      </c>
      <c r="E74" s="85" t="str">
        <f t="shared" si="3"/>
        <v>Ni</v>
      </c>
      <c r="F74" s="84">
        <v>14200.0</v>
      </c>
    </row>
    <row r="75">
      <c r="A75" s="85" t="s">
        <v>326</v>
      </c>
      <c r="B75" s="85" t="s">
        <v>72</v>
      </c>
      <c r="C75" s="88" t="s">
        <v>186</v>
      </c>
      <c r="D75" s="88" t="s">
        <v>327</v>
      </c>
      <c r="E75" s="85" t="str">
        <f t="shared" si="3"/>
        <v>Ni</v>
      </c>
      <c r="F75" s="84">
        <v>150700.0</v>
      </c>
    </row>
    <row r="76">
      <c r="A76" s="89" t="s">
        <v>328</v>
      </c>
      <c r="B76" s="89" t="s">
        <v>329</v>
      </c>
      <c r="C76" s="91" t="s">
        <v>330</v>
      </c>
      <c r="D76" s="91" t="s">
        <v>65</v>
      </c>
      <c r="E76" s="85" t="str">
        <f t="shared" si="3"/>
        <v>IX</v>
      </c>
      <c r="F76" s="6">
        <v>64600.0</v>
      </c>
    </row>
    <row r="77">
      <c r="A77" s="89" t="s">
        <v>331</v>
      </c>
      <c r="B77" s="89" t="s">
        <v>329</v>
      </c>
      <c r="C77" s="91" t="s">
        <v>330</v>
      </c>
      <c r="D77" s="91" t="s">
        <v>66</v>
      </c>
      <c r="E77" s="85" t="str">
        <f t="shared" si="3"/>
        <v>IX</v>
      </c>
      <c r="F77" s="6">
        <v>64600.0</v>
      </c>
    </row>
    <row r="78">
      <c r="A78" s="89" t="s">
        <v>332</v>
      </c>
      <c r="B78" s="89" t="s">
        <v>329</v>
      </c>
      <c r="C78" s="91" t="s">
        <v>330</v>
      </c>
      <c r="D78" s="91" t="s">
        <v>67</v>
      </c>
      <c r="E78" s="85" t="str">
        <f t="shared" si="3"/>
        <v>IX</v>
      </c>
      <c r="F78" s="6">
        <v>64600.0</v>
      </c>
    </row>
    <row r="79">
      <c r="A79" s="85" t="s">
        <v>333</v>
      </c>
      <c r="B79" s="85" t="s">
        <v>329</v>
      </c>
      <c r="C79" s="87" t="s">
        <v>334</v>
      </c>
      <c r="D79" s="87" t="s">
        <v>335</v>
      </c>
      <c r="E79" s="85" t="str">
        <f t="shared" si="3"/>
        <v>IX</v>
      </c>
      <c r="F79" s="84">
        <v>71700.0</v>
      </c>
    </row>
    <row r="80">
      <c r="A80" s="85" t="s">
        <v>336</v>
      </c>
      <c r="B80" s="85" t="s">
        <v>329</v>
      </c>
      <c r="C80" s="88" t="s">
        <v>337</v>
      </c>
      <c r="D80" s="88" t="s">
        <v>338</v>
      </c>
      <c r="E80" s="85" t="str">
        <f t="shared" si="3"/>
        <v>GP</v>
      </c>
      <c r="F80" s="84">
        <v>26800.0</v>
      </c>
    </row>
    <row r="81">
      <c r="A81" s="89" t="s">
        <v>339</v>
      </c>
      <c r="B81" s="85" t="s">
        <v>329</v>
      </c>
      <c r="C81" s="88" t="s">
        <v>337</v>
      </c>
      <c r="D81" s="90" t="s">
        <v>340</v>
      </c>
      <c r="E81" s="85" t="str">
        <f t="shared" si="3"/>
        <v>GP</v>
      </c>
      <c r="F81" s="84">
        <v>26800.0</v>
      </c>
    </row>
    <row r="82">
      <c r="A82" s="85" t="s">
        <v>341</v>
      </c>
      <c r="B82" s="85" t="s">
        <v>329</v>
      </c>
      <c r="C82" s="87" t="s">
        <v>334</v>
      </c>
      <c r="D82" s="87" t="s">
        <v>342</v>
      </c>
      <c r="E82" s="85" t="str">
        <f t="shared" si="3"/>
        <v>IX</v>
      </c>
      <c r="F82" s="84">
        <v>71700.0</v>
      </c>
    </row>
    <row r="83">
      <c r="A83" s="85" t="s">
        <v>343</v>
      </c>
      <c r="B83" s="85" t="s">
        <v>329</v>
      </c>
      <c r="C83" s="88" t="s">
        <v>334</v>
      </c>
      <c r="D83" s="88" t="s">
        <v>344</v>
      </c>
      <c r="E83" s="85" t="str">
        <f t="shared" si="3"/>
        <v>IX</v>
      </c>
      <c r="F83" s="84">
        <v>71700.0</v>
      </c>
    </row>
    <row r="84">
      <c r="A84" s="85" t="s">
        <v>345</v>
      </c>
      <c r="B84" s="85" t="s">
        <v>329</v>
      </c>
      <c r="C84" s="87" t="s">
        <v>334</v>
      </c>
      <c r="D84" s="87" t="s">
        <v>346</v>
      </c>
      <c r="E84" s="85" t="str">
        <f t="shared" si="3"/>
        <v>IX</v>
      </c>
      <c r="F84" s="1">
        <v>71700.0</v>
      </c>
    </row>
    <row r="85">
      <c r="A85" s="85" t="s">
        <v>347</v>
      </c>
      <c r="B85" s="85" t="s">
        <v>329</v>
      </c>
      <c r="C85" s="88" t="s">
        <v>334</v>
      </c>
      <c r="D85" s="88" t="s">
        <v>348</v>
      </c>
      <c r="E85" s="85" t="str">
        <f t="shared" si="3"/>
        <v>IX</v>
      </c>
      <c r="F85" s="84">
        <v>71700.0</v>
      </c>
    </row>
    <row r="86">
      <c r="A86" s="82" t="s">
        <v>349</v>
      </c>
      <c r="B86" s="85" t="s">
        <v>329</v>
      </c>
      <c r="C86" s="88" t="s">
        <v>334</v>
      </c>
      <c r="D86" s="90" t="s">
        <v>350</v>
      </c>
      <c r="E86" s="85" t="str">
        <f t="shared" si="3"/>
        <v>IX</v>
      </c>
      <c r="F86" s="84">
        <v>71700.0</v>
      </c>
    </row>
    <row r="87">
      <c r="A87" s="85" t="s">
        <v>351</v>
      </c>
      <c r="B87" s="85" t="s">
        <v>329</v>
      </c>
      <c r="C87" s="87" t="s">
        <v>334</v>
      </c>
      <c r="D87" s="87" t="s">
        <v>352</v>
      </c>
      <c r="E87" s="85" t="str">
        <f t="shared" si="3"/>
        <v>IX</v>
      </c>
      <c r="F87" s="84">
        <v>71700.0</v>
      </c>
    </row>
    <row r="88">
      <c r="A88" s="85" t="s">
        <v>353</v>
      </c>
      <c r="B88" s="85" t="s">
        <v>329</v>
      </c>
      <c r="C88" s="88" t="s">
        <v>337</v>
      </c>
      <c r="D88" s="88" t="s">
        <v>354</v>
      </c>
      <c r="E88" s="85" t="str">
        <f t="shared" si="3"/>
        <v>GP</v>
      </c>
      <c r="F88" s="84">
        <v>26800.0</v>
      </c>
    </row>
    <row r="89">
      <c r="A89" s="82" t="s">
        <v>355</v>
      </c>
      <c r="B89" s="85" t="s">
        <v>329</v>
      </c>
      <c r="C89" s="88" t="s">
        <v>337</v>
      </c>
      <c r="D89" s="90" t="s">
        <v>356</v>
      </c>
      <c r="E89" s="85" t="str">
        <f t="shared" si="3"/>
        <v>GP</v>
      </c>
      <c r="F89" s="84">
        <v>26800.0</v>
      </c>
    </row>
    <row r="90">
      <c r="A90" s="85" t="s">
        <v>357</v>
      </c>
      <c r="B90" s="85" t="s">
        <v>329</v>
      </c>
      <c r="C90" s="87" t="s">
        <v>334</v>
      </c>
      <c r="D90" s="87" t="s">
        <v>358</v>
      </c>
      <c r="E90" s="85" t="str">
        <f t="shared" si="3"/>
        <v>IX</v>
      </c>
      <c r="F90" s="84">
        <v>71700.0</v>
      </c>
    </row>
    <row r="91">
      <c r="A91" s="85" t="s">
        <v>359</v>
      </c>
      <c r="B91" s="85" t="s">
        <v>329</v>
      </c>
      <c r="C91" s="88" t="s">
        <v>337</v>
      </c>
      <c r="D91" s="88" t="s">
        <v>360</v>
      </c>
      <c r="E91" s="85" t="str">
        <f t="shared" si="3"/>
        <v>GP</v>
      </c>
      <c r="F91" s="84">
        <v>26800.0</v>
      </c>
    </row>
    <row r="92">
      <c r="A92" s="94" t="s">
        <v>361</v>
      </c>
      <c r="B92" s="85" t="s">
        <v>329</v>
      </c>
      <c r="C92" s="88" t="s">
        <v>337</v>
      </c>
      <c r="D92" s="90" t="s">
        <v>362</v>
      </c>
      <c r="E92" s="85" t="str">
        <f t="shared" si="3"/>
        <v>GP</v>
      </c>
      <c r="F92" s="84">
        <v>26800.0</v>
      </c>
    </row>
    <row r="93">
      <c r="A93" s="85" t="s">
        <v>363</v>
      </c>
      <c r="B93" s="85" t="s">
        <v>329</v>
      </c>
      <c r="C93" s="87" t="s">
        <v>334</v>
      </c>
      <c r="D93" s="91" t="s">
        <v>45</v>
      </c>
      <c r="E93" s="85" t="str">
        <f t="shared" si="3"/>
        <v>IX</v>
      </c>
      <c r="F93" s="84">
        <v>71700.0</v>
      </c>
    </row>
    <row r="94">
      <c r="A94" s="85" t="s">
        <v>364</v>
      </c>
      <c r="B94" s="85" t="s">
        <v>329</v>
      </c>
      <c r="C94" s="88" t="s">
        <v>334</v>
      </c>
      <c r="D94" s="90" t="s">
        <v>44</v>
      </c>
      <c r="E94" s="85" t="str">
        <f t="shared" si="3"/>
        <v>IX</v>
      </c>
      <c r="F94" s="84">
        <v>71700.0</v>
      </c>
    </row>
    <row r="95">
      <c r="A95" s="85" t="s">
        <v>367</v>
      </c>
      <c r="B95" s="85" t="s">
        <v>329</v>
      </c>
      <c r="C95" s="87" t="s">
        <v>334</v>
      </c>
      <c r="D95" s="91" t="s">
        <v>43</v>
      </c>
      <c r="E95" s="85" t="str">
        <f t="shared" si="3"/>
        <v>IX</v>
      </c>
      <c r="F95" s="84">
        <v>71700.0</v>
      </c>
    </row>
    <row r="96">
      <c r="A96" s="89" t="s">
        <v>365</v>
      </c>
      <c r="B96" s="89" t="s">
        <v>72</v>
      </c>
      <c r="C96" s="91" t="s">
        <v>186</v>
      </c>
      <c r="D96" s="91" t="s">
        <v>366</v>
      </c>
      <c r="E96" s="85" t="str">
        <f t="shared" si="3"/>
        <v>Ni</v>
      </c>
      <c r="F96" s="6">
        <v>34600.0</v>
      </c>
    </row>
    <row r="97">
      <c r="A97" s="85" t="s">
        <v>368</v>
      </c>
      <c r="B97" s="85" t="s">
        <v>329</v>
      </c>
      <c r="C97" s="88" t="s">
        <v>334</v>
      </c>
      <c r="D97" s="90" t="s">
        <v>42</v>
      </c>
      <c r="E97" s="85" t="str">
        <f t="shared" si="3"/>
        <v>IX</v>
      </c>
      <c r="F97" s="84">
        <v>71700.0</v>
      </c>
    </row>
    <row r="98">
      <c r="A98" s="82" t="s">
        <v>369</v>
      </c>
      <c r="B98" s="85" t="s">
        <v>329</v>
      </c>
      <c r="C98" s="87" t="s">
        <v>337</v>
      </c>
      <c r="D98" s="87" t="s">
        <v>370</v>
      </c>
      <c r="E98" s="85" t="str">
        <f t="shared" si="3"/>
        <v>GP</v>
      </c>
      <c r="F98" s="1">
        <v>26800.0</v>
      </c>
    </row>
    <row r="99">
      <c r="A99" s="82" t="s">
        <v>371</v>
      </c>
      <c r="B99" s="85" t="s">
        <v>329</v>
      </c>
      <c r="C99" s="87" t="s">
        <v>337</v>
      </c>
      <c r="D99" s="91" t="s">
        <v>372</v>
      </c>
      <c r="E99" s="85" t="str">
        <f t="shared" si="3"/>
        <v>GP</v>
      </c>
      <c r="F99" s="1">
        <v>26800.0</v>
      </c>
    </row>
    <row r="100">
      <c r="A100" s="85" t="s">
        <v>373</v>
      </c>
      <c r="B100" s="85" t="s">
        <v>329</v>
      </c>
      <c r="C100" s="88" t="s">
        <v>334</v>
      </c>
      <c r="D100" s="88" t="s">
        <v>374</v>
      </c>
      <c r="E100" s="85" t="str">
        <f t="shared" si="3"/>
        <v>IX</v>
      </c>
      <c r="F100" s="84">
        <v>71700.0</v>
      </c>
    </row>
    <row r="101">
      <c r="A101" s="85" t="s">
        <v>375</v>
      </c>
      <c r="B101" s="85" t="s">
        <v>329</v>
      </c>
      <c r="C101" s="87" t="s">
        <v>337</v>
      </c>
      <c r="D101" s="87" t="s">
        <v>376</v>
      </c>
      <c r="E101" s="85" t="str">
        <f t="shared" si="3"/>
        <v>GP</v>
      </c>
      <c r="F101" s="84">
        <v>26800.0</v>
      </c>
    </row>
    <row r="102">
      <c r="A102" s="89" t="s">
        <v>377</v>
      </c>
      <c r="B102" s="85" t="s">
        <v>329</v>
      </c>
      <c r="C102" s="87" t="s">
        <v>337</v>
      </c>
      <c r="D102" s="91" t="s">
        <v>378</v>
      </c>
      <c r="E102" s="85" t="str">
        <f t="shared" si="3"/>
        <v>GP</v>
      </c>
      <c r="F102" s="84">
        <v>26800.0</v>
      </c>
    </row>
    <row r="103">
      <c r="A103" s="85" t="s">
        <v>379</v>
      </c>
      <c r="B103" s="85" t="s">
        <v>329</v>
      </c>
      <c r="C103" s="88" t="s">
        <v>334</v>
      </c>
      <c r="D103" s="90" t="s">
        <v>41</v>
      </c>
      <c r="E103" s="85" t="str">
        <f t="shared" si="3"/>
        <v>IX</v>
      </c>
      <c r="F103" s="84">
        <v>71700.0</v>
      </c>
    </row>
    <row r="104">
      <c r="A104" s="82" t="s">
        <v>380</v>
      </c>
      <c r="B104" s="85" t="s">
        <v>329</v>
      </c>
      <c r="C104" s="87" t="s">
        <v>337</v>
      </c>
      <c r="D104" s="87" t="s">
        <v>381</v>
      </c>
      <c r="E104" s="85" t="str">
        <f t="shared" si="3"/>
        <v>GP</v>
      </c>
      <c r="F104" s="1">
        <v>26800.0</v>
      </c>
    </row>
    <row r="105">
      <c r="A105" s="82" t="s">
        <v>382</v>
      </c>
      <c r="B105" s="85" t="s">
        <v>329</v>
      </c>
      <c r="C105" s="87" t="s">
        <v>337</v>
      </c>
      <c r="D105" s="91" t="s">
        <v>383</v>
      </c>
      <c r="E105" s="85" t="str">
        <f t="shared" si="3"/>
        <v>GP</v>
      </c>
      <c r="F105" s="1">
        <v>26800.0</v>
      </c>
    </row>
    <row r="106">
      <c r="A106" s="85" t="s">
        <v>384</v>
      </c>
      <c r="B106" s="85" t="s">
        <v>329</v>
      </c>
      <c r="C106" s="88" t="s">
        <v>334</v>
      </c>
      <c r="D106" s="90" t="s">
        <v>40</v>
      </c>
      <c r="E106" s="85" t="str">
        <f t="shared" si="3"/>
        <v>IX</v>
      </c>
      <c r="F106" s="84">
        <v>71700.0</v>
      </c>
    </row>
    <row r="107">
      <c r="A107" s="85" t="s">
        <v>385</v>
      </c>
      <c r="B107" s="85" t="s">
        <v>329</v>
      </c>
      <c r="C107" s="87" t="s">
        <v>181</v>
      </c>
      <c r="D107" s="87" t="s">
        <v>386</v>
      </c>
      <c r="E107" s="85" t="str">
        <f t="shared" si="3"/>
        <v>IX</v>
      </c>
      <c r="F107" s="1">
        <v>149000.0</v>
      </c>
    </row>
    <row r="108">
      <c r="A108" s="82" t="s">
        <v>387</v>
      </c>
      <c r="B108" s="85" t="s">
        <v>329</v>
      </c>
      <c r="C108" s="88" t="s">
        <v>337</v>
      </c>
      <c r="D108" s="88" t="s">
        <v>388</v>
      </c>
      <c r="E108" s="85" t="str">
        <f t="shared" si="3"/>
        <v>GP</v>
      </c>
      <c r="F108" s="84">
        <v>26800.0</v>
      </c>
    </row>
    <row r="109">
      <c r="A109" s="82" t="s">
        <v>389</v>
      </c>
      <c r="B109" s="85" t="s">
        <v>329</v>
      </c>
      <c r="C109" s="88" t="s">
        <v>337</v>
      </c>
      <c r="D109" s="90" t="s">
        <v>390</v>
      </c>
      <c r="E109" s="85" t="str">
        <f t="shared" si="3"/>
        <v>GP</v>
      </c>
      <c r="F109" s="84">
        <v>26800.0</v>
      </c>
    </row>
    <row r="110">
      <c r="A110" s="85" t="s">
        <v>391</v>
      </c>
      <c r="B110" s="85" t="s">
        <v>329</v>
      </c>
      <c r="C110" s="87" t="s">
        <v>334</v>
      </c>
      <c r="D110" s="87" t="s">
        <v>392</v>
      </c>
      <c r="E110" s="85" t="str">
        <f t="shared" si="3"/>
        <v>IX</v>
      </c>
      <c r="F110" s="84">
        <v>71700.0</v>
      </c>
    </row>
    <row r="111">
      <c r="A111" s="82" t="s">
        <v>393</v>
      </c>
      <c r="B111" s="85" t="s">
        <v>329</v>
      </c>
      <c r="C111" s="87" t="s">
        <v>334</v>
      </c>
      <c r="D111" s="91" t="s">
        <v>394</v>
      </c>
      <c r="E111" s="85" t="str">
        <f t="shared" si="3"/>
        <v>IX</v>
      </c>
      <c r="F111" s="84">
        <v>71700.0</v>
      </c>
    </row>
    <row r="112">
      <c r="A112" s="85" t="s">
        <v>395</v>
      </c>
      <c r="B112" s="85" t="s">
        <v>329</v>
      </c>
      <c r="C112" s="88" t="s">
        <v>181</v>
      </c>
      <c r="D112" s="88" t="s">
        <v>396</v>
      </c>
      <c r="E112" s="85" t="str">
        <f t="shared" si="3"/>
        <v>IX</v>
      </c>
      <c r="F112" s="1">
        <v>149000.0</v>
      </c>
    </row>
    <row r="113">
      <c r="A113" s="85" t="s">
        <v>397</v>
      </c>
      <c r="B113" s="85" t="s">
        <v>329</v>
      </c>
      <c r="C113" s="87" t="s">
        <v>337</v>
      </c>
      <c r="D113" s="87" t="s">
        <v>398</v>
      </c>
      <c r="E113" s="85" t="str">
        <f t="shared" si="3"/>
        <v>GP</v>
      </c>
      <c r="F113" s="84">
        <v>26800.0</v>
      </c>
    </row>
    <row r="114">
      <c r="A114" s="85" t="s">
        <v>399</v>
      </c>
      <c r="B114" s="85" t="s">
        <v>329</v>
      </c>
      <c r="C114" s="88" t="s">
        <v>334</v>
      </c>
      <c r="D114" s="88" t="s">
        <v>400</v>
      </c>
      <c r="E114" s="85" t="str">
        <f t="shared" si="3"/>
        <v>IX</v>
      </c>
      <c r="F114" s="84">
        <v>71700.0</v>
      </c>
    </row>
    <row r="115">
      <c r="A115" s="89" t="s">
        <v>401</v>
      </c>
      <c r="B115" s="85" t="s">
        <v>329</v>
      </c>
      <c r="C115" s="88" t="s">
        <v>334</v>
      </c>
      <c r="D115" s="90" t="s">
        <v>402</v>
      </c>
      <c r="E115" s="85" t="str">
        <f t="shared" si="3"/>
        <v>IX</v>
      </c>
      <c r="F115" s="84">
        <v>71700.0</v>
      </c>
    </row>
    <row r="116">
      <c r="A116" s="85" t="s">
        <v>403</v>
      </c>
      <c r="B116" s="85" t="s">
        <v>329</v>
      </c>
      <c r="C116" s="87" t="s">
        <v>337</v>
      </c>
      <c r="D116" s="87" t="s">
        <v>404</v>
      </c>
      <c r="E116" s="85" t="str">
        <f t="shared" si="3"/>
        <v>GP</v>
      </c>
      <c r="F116" s="84">
        <v>26800.0</v>
      </c>
    </row>
    <row r="117">
      <c r="A117" s="85" t="s">
        <v>405</v>
      </c>
      <c r="B117" s="85" t="s">
        <v>329</v>
      </c>
      <c r="C117" s="88" t="s">
        <v>334</v>
      </c>
      <c r="D117" s="88" t="s">
        <v>406</v>
      </c>
      <c r="E117" s="85" t="str">
        <f t="shared" si="3"/>
        <v>IX</v>
      </c>
      <c r="F117" s="84">
        <v>71700.0</v>
      </c>
    </row>
    <row r="118">
      <c r="A118" s="89" t="s">
        <v>407</v>
      </c>
      <c r="B118" s="85" t="s">
        <v>329</v>
      </c>
      <c r="C118" s="88" t="s">
        <v>334</v>
      </c>
      <c r="D118" s="90" t="s">
        <v>408</v>
      </c>
      <c r="E118" s="85" t="str">
        <f t="shared" si="3"/>
        <v>IX</v>
      </c>
      <c r="F118" s="84">
        <v>71700.0</v>
      </c>
    </row>
    <row r="119">
      <c r="A119" s="82" t="s">
        <v>409</v>
      </c>
      <c r="B119" s="85" t="s">
        <v>329</v>
      </c>
      <c r="C119" s="87" t="s">
        <v>337</v>
      </c>
      <c r="D119" s="87" t="s">
        <v>410</v>
      </c>
      <c r="E119" s="85" t="str">
        <f t="shared" si="3"/>
        <v>GP</v>
      </c>
      <c r="F119" s="84">
        <v>26800.0</v>
      </c>
    </row>
    <row r="120">
      <c r="A120" s="82" t="s">
        <v>411</v>
      </c>
      <c r="B120" s="85" t="s">
        <v>329</v>
      </c>
      <c r="C120" s="87" t="s">
        <v>337</v>
      </c>
      <c r="D120" s="91" t="s">
        <v>412</v>
      </c>
      <c r="E120" s="85" t="str">
        <f t="shared" si="3"/>
        <v>GP</v>
      </c>
      <c r="F120" s="84">
        <v>26800.0</v>
      </c>
    </row>
    <row r="121">
      <c r="A121" s="85" t="s">
        <v>413</v>
      </c>
      <c r="B121" s="85" t="s">
        <v>329</v>
      </c>
      <c r="C121" s="88" t="s">
        <v>334</v>
      </c>
      <c r="D121" s="90" t="s">
        <v>39</v>
      </c>
      <c r="E121" s="85" t="str">
        <f t="shared" si="3"/>
        <v>IX</v>
      </c>
      <c r="F121" s="84">
        <v>71700.0</v>
      </c>
    </row>
    <row r="122">
      <c r="A122" s="85" t="s">
        <v>414</v>
      </c>
      <c r="B122" s="85" t="s">
        <v>329</v>
      </c>
      <c r="C122" s="87" t="s">
        <v>181</v>
      </c>
      <c r="D122" s="87" t="s">
        <v>415</v>
      </c>
      <c r="E122" s="85" t="str">
        <f t="shared" si="3"/>
        <v>IX</v>
      </c>
      <c r="F122" s="1">
        <v>149000.0</v>
      </c>
    </row>
    <row r="123">
      <c r="A123" s="82" t="s">
        <v>416</v>
      </c>
      <c r="B123" s="85" t="s">
        <v>329</v>
      </c>
      <c r="C123" s="88" t="s">
        <v>337</v>
      </c>
      <c r="D123" s="88" t="s">
        <v>417</v>
      </c>
      <c r="E123" s="85" t="str">
        <f t="shared" si="3"/>
        <v>GP</v>
      </c>
      <c r="F123" s="84">
        <v>26800.0</v>
      </c>
    </row>
    <row r="124">
      <c r="A124" s="82" t="s">
        <v>418</v>
      </c>
      <c r="B124" s="85" t="s">
        <v>329</v>
      </c>
      <c r="C124" s="88" t="s">
        <v>337</v>
      </c>
      <c r="D124" s="90" t="s">
        <v>419</v>
      </c>
      <c r="E124" s="85" t="str">
        <f t="shared" si="3"/>
        <v>GP</v>
      </c>
      <c r="F124" s="84">
        <v>26800.0</v>
      </c>
    </row>
    <row r="125">
      <c r="A125" s="85" t="s">
        <v>420</v>
      </c>
      <c r="B125" s="85" t="s">
        <v>329</v>
      </c>
      <c r="C125" s="87" t="s">
        <v>334</v>
      </c>
      <c r="D125" s="87" t="s">
        <v>38</v>
      </c>
      <c r="E125" s="85" t="str">
        <f t="shared" si="3"/>
        <v>IX</v>
      </c>
      <c r="F125" s="84">
        <v>71700.0</v>
      </c>
    </row>
    <row r="126">
      <c r="A126" s="85" t="s">
        <v>421</v>
      </c>
      <c r="B126" s="85" t="s">
        <v>329</v>
      </c>
      <c r="C126" s="88" t="s">
        <v>334</v>
      </c>
      <c r="D126" s="90" t="s">
        <v>37</v>
      </c>
      <c r="E126" s="85" t="str">
        <f t="shared" si="3"/>
        <v>IX</v>
      </c>
      <c r="F126" s="84">
        <v>71700.0</v>
      </c>
    </row>
    <row r="127">
      <c r="A127" s="85" t="s">
        <v>422</v>
      </c>
      <c r="B127" s="85" t="s">
        <v>329</v>
      </c>
      <c r="C127" s="87" t="s">
        <v>334</v>
      </c>
      <c r="D127" s="87" t="s">
        <v>423</v>
      </c>
      <c r="E127" s="85" t="str">
        <f t="shared" si="3"/>
        <v>IX</v>
      </c>
      <c r="F127" s="84">
        <v>71700.0</v>
      </c>
    </row>
    <row r="128">
      <c r="A128" s="85" t="s">
        <v>424</v>
      </c>
      <c r="B128" s="85" t="s">
        <v>329</v>
      </c>
      <c r="C128" s="88" t="s">
        <v>181</v>
      </c>
      <c r="D128" s="88" t="s">
        <v>425</v>
      </c>
      <c r="E128" s="85" t="str">
        <f t="shared" si="3"/>
        <v>IX</v>
      </c>
      <c r="F128" s="1">
        <v>149000.0</v>
      </c>
    </row>
    <row r="129">
      <c r="A129" s="85" t="s">
        <v>426</v>
      </c>
      <c r="B129" s="85" t="s">
        <v>329</v>
      </c>
      <c r="C129" s="87" t="s">
        <v>334</v>
      </c>
      <c r="D129" s="87" t="s">
        <v>427</v>
      </c>
      <c r="E129" s="85" t="str">
        <f t="shared" si="3"/>
        <v>IX</v>
      </c>
      <c r="F129" s="84">
        <v>71700.0</v>
      </c>
    </row>
    <row r="130">
      <c r="A130" s="85" t="s">
        <v>428</v>
      </c>
      <c r="B130" s="85" t="s">
        <v>329</v>
      </c>
      <c r="C130" s="88" t="s">
        <v>181</v>
      </c>
      <c r="D130" s="88" t="s">
        <v>429</v>
      </c>
      <c r="E130" s="85" t="str">
        <f t="shared" si="3"/>
        <v>IX</v>
      </c>
      <c r="F130" s="1">
        <v>150700.0</v>
      </c>
    </row>
    <row r="131">
      <c r="A131" s="85" t="s">
        <v>430</v>
      </c>
      <c r="B131" s="85" t="s">
        <v>329</v>
      </c>
      <c r="C131" s="87" t="s">
        <v>334</v>
      </c>
      <c r="D131" s="87" t="s">
        <v>431</v>
      </c>
      <c r="E131" s="85" t="str">
        <f t="shared" si="3"/>
        <v>IX</v>
      </c>
      <c r="F131" s="84">
        <v>71700.0</v>
      </c>
    </row>
    <row r="132">
      <c r="A132" s="85" t="s">
        <v>432</v>
      </c>
      <c r="B132" s="85" t="s">
        <v>329</v>
      </c>
      <c r="C132" s="88" t="s">
        <v>334</v>
      </c>
      <c r="D132" s="88" t="s">
        <v>433</v>
      </c>
      <c r="E132" s="85" t="str">
        <f t="shared" si="3"/>
        <v>IX</v>
      </c>
      <c r="F132" s="84">
        <v>71700.0</v>
      </c>
    </row>
    <row r="133">
      <c r="A133" s="85" t="s">
        <v>434</v>
      </c>
      <c r="B133" s="85" t="s">
        <v>329</v>
      </c>
      <c r="C133" s="87" t="s">
        <v>337</v>
      </c>
      <c r="D133" s="87" t="s">
        <v>435</v>
      </c>
      <c r="E133" s="85" t="str">
        <f t="shared" si="3"/>
        <v>GP</v>
      </c>
      <c r="F133" s="84">
        <v>26800.0</v>
      </c>
    </row>
    <row r="134">
      <c r="A134" s="85" t="s">
        <v>436</v>
      </c>
      <c r="B134" s="85" t="s">
        <v>329</v>
      </c>
      <c r="C134" s="88" t="s">
        <v>334</v>
      </c>
      <c r="D134" s="88" t="s">
        <v>437</v>
      </c>
      <c r="E134" s="85" t="str">
        <f t="shared" si="3"/>
        <v>IX</v>
      </c>
      <c r="F134" s="84">
        <v>71700.0</v>
      </c>
    </row>
    <row r="135">
      <c r="A135" s="83" t="s">
        <v>436</v>
      </c>
      <c r="B135" s="85" t="s">
        <v>329</v>
      </c>
      <c r="C135" s="88" t="s">
        <v>334</v>
      </c>
      <c r="D135" s="90" t="s">
        <v>438</v>
      </c>
      <c r="E135" s="85" t="str">
        <f t="shared" si="3"/>
        <v>IX</v>
      </c>
      <c r="F135" s="84">
        <v>71700.0</v>
      </c>
    </row>
    <row r="136">
      <c r="A136" s="85" t="s">
        <v>439</v>
      </c>
      <c r="B136" s="85" t="s">
        <v>329</v>
      </c>
      <c r="C136" s="87" t="s">
        <v>337</v>
      </c>
      <c r="D136" s="91" t="s">
        <v>46</v>
      </c>
      <c r="E136" s="85" t="str">
        <f t="shared" si="3"/>
        <v>GP</v>
      </c>
      <c r="F136" s="84">
        <v>26800.0</v>
      </c>
    </row>
    <row r="137">
      <c r="A137" s="85" t="s">
        <v>440</v>
      </c>
      <c r="B137" s="85" t="s">
        <v>329</v>
      </c>
      <c r="C137" s="88" t="s">
        <v>334</v>
      </c>
      <c r="D137" s="88" t="s">
        <v>441</v>
      </c>
      <c r="E137" s="85" t="str">
        <f t="shared" si="3"/>
        <v>IX</v>
      </c>
      <c r="F137" s="84">
        <v>71700.0</v>
      </c>
    </row>
    <row r="138">
      <c r="A138" s="83" t="s">
        <v>442</v>
      </c>
      <c r="B138" s="83" t="s">
        <v>329</v>
      </c>
      <c r="C138" s="83" t="s">
        <v>181</v>
      </c>
      <c r="D138" s="83" t="s">
        <v>443</v>
      </c>
      <c r="E138" s="83" t="str">
        <f t="shared" si="3"/>
        <v>IX</v>
      </c>
      <c r="F138" s="84">
        <v>150700.0</v>
      </c>
    </row>
    <row r="139">
      <c r="A139" s="85" t="s">
        <v>444</v>
      </c>
      <c r="B139" s="85" t="s">
        <v>329</v>
      </c>
      <c r="C139" s="88" t="s">
        <v>181</v>
      </c>
      <c r="D139" s="88" t="s">
        <v>445</v>
      </c>
      <c r="E139" s="85" t="str">
        <f t="shared" si="3"/>
        <v>IX</v>
      </c>
      <c r="F139" s="84">
        <v>150700.0</v>
      </c>
    </row>
    <row r="140">
      <c r="A140" s="85" t="s">
        <v>446</v>
      </c>
      <c r="B140" s="85" t="s">
        <v>329</v>
      </c>
      <c r="C140" s="87" t="s">
        <v>181</v>
      </c>
      <c r="D140" s="87" t="s">
        <v>447</v>
      </c>
      <c r="E140" s="85" t="str">
        <f t="shared" si="3"/>
        <v>IX</v>
      </c>
      <c r="F140" s="84">
        <v>150700.0</v>
      </c>
    </row>
    <row r="141">
      <c r="A141" s="83" t="s">
        <v>448</v>
      </c>
      <c r="B141" s="85" t="s">
        <v>329</v>
      </c>
      <c r="C141" s="88" t="s">
        <v>181</v>
      </c>
      <c r="D141" s="88" t="s">
        <v>449</v>
      </c>
      <c r="E141" s="85" t="str">
        <f t="shared" si="3"/>
        <v>IX</v>
      </c>
      <c r="F141" s="84">
        <v>183400.0</v>
      </c>
    </row>
    <row r="142">
      <c r="A142" s="85" t="s">
        <v>450</v>
      </c>
      <c r="B142" s="85" t="s">
        <v>329</v>
      </c>
      <c r="C142" s="87" t="s">
        <v>181</v>
      </c>
      <c r="D142" s="87" t="s">
        <v>451</v>
      </c>
      <c r="E142" s="85" t="str">
        <f t="shared" si="3"/>
        <v>IX</v>
      </c>
      <c r="F142" s="84">
        <v>189900.0</v>
      </c>
    </row>
    <row r="143">
      <c r="A143" s="85" t="s">
        <v>452</v>
      </c>
      <c r="B143" s="85" t="s">
        <v>329</v>
      </c>
      <c r="C143" s="88" t="s">
        <v>181</v>
      </c>
      <c r="D143" s="88" t="s">
        <v>453</v>
      </c>
      <c r="E143" s="85" t="str">
        <f t="shared" si="3"/>
        <v>IX</v>
      </c>
      <c r="F143" s="84">
        <v>189900.0</v>
      </c>
    </row>
    <row r="144">
      <c r="A144" s="85" t="s">
        <v>454</v>
      </c>
      <c r="B144" s="85" t="s">
        <v>329</v>
      </c>
      <c r="C144" s="87" t="s">
        <v>181</v>
      </c>
      <c r="D144" s="87" t="s">
        <v>455</v>
      </c>
      <c r="E144" s="85" t="str">
        <f t="shared" si="3"/>
        <v>IX</v>
      </c>
      <c r="F144" s="1">
        <v>178000.0</v>
      </c>
    </row>
    <row r="145">
      <c r="A145" s="82" t="s">
        <v>456</v>
      </c>
      <c r="B145" s="85" t="s">
        <v>329</v>
      </c>
      <c r="C145" s="87" t="s">
        <v>181</v>
      </c>
      <c r="D145" s="82" t="s">
        <v>80</v>
      </c>
      <c r="E145" s="85" t="str">
        <f t="shared" si="3"/>
        <v>IX</v>
      </c>
      <c r="F145" s="6">
        <v>189900.0</v>
      </c>
    </row>
    <row r="146">
      <c r="A146" s="82" t="s">
        <v>457</v>
      </c>
      <c r="B146" s="85" t="s">
        <v>329</v>
      </c>
      <c r="C146" s="87" t="s">
        <v>181</v>
      </c>
      <c r="D146" s="82" t="s">
        <v>81</v>
      </c>
      <c r="E146" s="85" t="str">
        <f t="shared" si="3"/>
        <v>IX</v>
      </c>
      <c r="F146" s="6">
        <v>189900.0</v>
      </c>
    </row>
    <row r="147">
      <c r="A147" s="83" t="s">
        <v>458</v>
      </c>
      <c r="B147" s="85" t="s">
        <v>329</v>
      </c>
      <c r="C147" s="88" t="s">
        <v>181</v>
      </c>
      <c r="D147" s="88" t="s">
        <v>459</v>
      </c>
      <c r="E147" s="85" t="str">
        <f t="shared" si="3"/>
        <v>IX</v>
      </c>
      <c r="F147" s="84">
        <v>179500.0</v>
      </c>
    </row>
    <row r="148">
      <c r="A148" s="85" t="s">
        <v>458</v>
      </c>
      <c r="B148" s="85" t="s">
        <v>329</v>
      </c>
      <c r="C148" s="87" t="s">
        <v>181</v>
      </c>
      <c r="D148" s="87" t="s">
        <v>460</v>
      </c>
      <c r="E148" s="85" t="str">
        <f t="shared" si="3"/>
        <v>IX</v>
      </c>
      <c r="F148" s="84">
        <v>179500.0</v>
      </c>
    </row>
    <row r="149">
      <c r="A149" s="85" t="s">
        <v>461</v>
      </c>
      <c r="B149" s="85" t="s">
        <v>329</v>
      </c>
      <c r="C149" s="88" t="s">
        <v>181</v>
      </c>
      <c r="D149" s="88" t="s">
        <v>462</v>
      </c>
      <c r="E149" s="85" t="str">
        <f t="shared" si="3"/>
        <v>IX</v>
      </c>
      <c r="F149" s="84">
        <v>189900.0</v>
      </c>
    </row>
    <row r="150">
      <c r="A150" s="85" t="s">
        <v>463</v>
      </c>
      <c r="B150" s="85" t="s">
        <v>329</v>
      </c>
      <c r="C150" s="87" t="s">
        <v>181</v>
      </c>
      <c r="D150" s="87" t="s">
        <v>464</v>
      </c>
      <c r="E150" s="85" t="str">
        <f t="shared" si="3"/>
        <v>IX</v>
      </c>
      <c r="F150" s="84">
        <v>179500.0</v>
      </c>
    </row>
    <row r="151">
      <c r="A151" s="85" t="s">
        <v>465</v>
      </c>
      <c r="B151" s="85" t="s">
        <v>329</v>
      </c>
      <c r="C151" s="88" t="s">
        <v>181</v>
      </c>
      <c r="D151" s="88" t="s">
        <v>466</v>
      </c>
      <c r="E151" s="85" t="str">
        <f t="shared" si="3"/>
        <v>IX</v>
      </c>
      <c r="F151" s="84">
        <v>150700.0</v>
      </c>
    </row>
    <row r="152">
      <c r="A152" s="85" t="s">
        <v>467</v>
      </c>
      <c r="B152" s="85" t="s">
        <v>329</v>
      </c>
      <c r="C152" s="87" t="s">
        <v>330</v>
      </c>
      <c r="D152" s="87" t="s">
        <v>468</v>
      </c>
      <c r="E152" s="85" t="str">
        <f t="shared" si="3"/>
        <v>IX</v>
      </c>
      <c r="F152" s="1">
        <v>539000.0</v>
      </c>
    </row>
    <row r="153">
      <c r="A153" s="85" t="s">
        <v>469</v>
      </c>
      <c r="B153" s="85" t="s">
        <v>329</v>
      </c>
      <c r="C153" s="88" t="s">
        <v>330</v>
      </c>
      <c r="D153" s="88" t="s">
        <v>470</v>
      </c>
      <c r="E153" s="85" t="str">
        <f t="shared" si="3"/>
        <v>IX</v>
      </c>
      <c r="F153" s="1">
        <v>390000.0</v>
      </c>
    </row>
    <row r="154">
      <c r="A154" s="85" t="s">
        <v>471</v>
      </c>
      <c r="B154" s="85" t="s">
        <v>329</v>
      </c>
      <c r="C154" s="87" t="s">
        <v>330</v>
      </c>
      <c r="D154" s="87" t="s">
        <v>472</v>
      </c>
      <c r="E154" s="85" t="str">
        <f t="shared" si="3"/>
        <v>IX</v>
      </c>
      <c r="F154" s="1">
        <v>390000.0</v>
      </c>
    </row>
    <row r="155">
      <c r="A155" s="85" t="s">
        <v>473</v>
      </c>
      <c r="B155" s="85" t="s">
        <v>329</v>
      </c>
      <c r="C155" s="88" t="s">
        <v>330</v>
      </c>
      <c r="D155" s="88" t="s">
        <v>474</v>
      </c>
      <c r="E155" s="85" t="str">
        <f t="shared" si="3"/>
        <v>IX</v>
      </c>
      <c r="F155" s="1">
        <v>390000.0</v>
      </c>
    </row>
    <row r="156">
      <c r="A156" s="85" t="s">
        <v>475</v>
      </c>
      <c r="B156" s="85" t="s">
        <v>329</v>
      </c>
      <c r="C156" s="87" t="s">
        <v>330</v>
      </c>
      <c r="D156" s="87" t="s">
        <v>476</v>
      </c>
      <c r="E156" s="85" t="str">
        <f t="shared" si="3"/>
        <v>IX</v>
      </c>
      <c r="F156" s="1">
        <v>403000.0</v>
      </c>
    </row>
    <row r="157">
      <c r="A157" s="85" t="s">
        <v>477</v>
      </c>
      <c r="B157" s="85" t="s">
        <v>329</v>
      </c>
      <c r="C157" s="88" t="s">
        <v>330</v>
      </c>
      <c r="D157" s="88" t="s">
        <v>478</v>
      </c>
      <c r="E157" s="85" t="str">
        <f t="shared" si="3"/>
        <v>IX</v>
      </c>
      <c r="F157" s="1">
        <v>583000.0</v>
      </c>
    </row>
    <row r="158">
      <c r="A158" s="85" t="s">
        <v>479</v>
      </c>
      <c r="B158" s="85" t="s">
        <v>329</v>
      </c>
      <c r="C158" s="87" t="s">
        <v>330</v>
      </c>
      <c r="D158" s="87" t="s">
        <v>480</v>
      </c>
      <c r="E158" s="85" t="str">
        <f t="shared" si="3"/>
        <v>IX</v>
      </c>
      <c r="F158" s="1">
        <v>372000.0</v>
      </c>
    </row>
    <row r="159">
      <c r="A159" s="85" t="s">
        <v>481</v>
      </c>
      <c r="B159" s="85" t="s">
        <v>329</v>
      </c>
      <c r="C159" s="88" t="s">
        <v>330</v>
      </c>
      <c r="D159" s="88" t="s">
        <v>482</v>
      </c>
      <c r="E159" s="85" t="str">
        <f t="shared" si="3"/>
        <v>IX</v>
      </c>
      <c r="F159" s="1">
        <v>372000.0</v>
      </c>
    </row>
    <row r="160">
      <c r="A160" s="85" t="s">
        <v>483</v>
      </c>
      <c r="B160" s="85" t="s">
        <v>329</v>
      </c>
      <c r="C160" s="87" t="s">
        <v>181</v>
      </c>
      <c r="D160" s="87" t="s">
        <v>484</v>
      </c>
      <c r="E160" s="85" t="str">
        <f t="shared" si="3"/>
        <v>IX</v>
      </c>
      <c r="F160" s="1">
        <v>150700.0</v>
      </c>
    </row>
    <row r="161">
      <c r="A161" s="85" t="s">
        <v>485</v>
      </c>
      <c r="B161" s="85" t="s">
        <v>329</v>
      </c>
      <c r="C161" s="88" t="s">
        <v>181</v>
      </c>
      <c r="D161" s="88" t="s">
        <v>486</v>
      </c>
      <c r="E161" s="85" t="str">
        <f t="shared" si="3"/>
        <v>IX</v>
      </c>
      <c r="F161" s="84">
        <v>161200.0</v>
      </c>
    </row>
    <row r="162">
      <c r="A162" s="85" t="s">
        <v>487</v>
      </c>
      <c r="B162" s="85" t="s">
        <v>329</v>
      </c>
      <c r="C162" s="87" t="s">
        <v>181</v>
      </c>
      <c r="D162" s="87" t="s">
        <v>488</v>
      </c>
      <c r="E162" s="85" t="str">
        <f t="shared" si="3"/>
        <v>IX</v>
      </c>
      <c r="F162" s="84">
        <v>150700.0</v>
      </c>
    </row>
    <row r="163">
      <c r="A163" s="85" t="s">
        <v>489</v>
      </c>
      <c r="B163" s="85" t="s">
        <v>329</v>
      </c>
      <c r="C163" s="88" t="s">
        <v>181</v>
      </c>
      <c r="D163" s="88" t="s">
        <v>490</v>
      </c>
      <c r="E163" s="85" t="str">
        <f t="shared" si="3"/>
        <v>IX</v>
      </c>
      <c r="F163" s="84">
        <v>150700.0</v>
      </c>
    </row>
    <row r="164">
      <c r="A164" s="85" t="s">
        <v>491</v>
      </c>
      <c r="B164" s="85" t="s">
        <v>329</v>
      </c>
      <c r="C164" s="87" t="s">
        <v>181</v>
      </c>
      <c r="D164" s="87" t="s">
        <v>492</v>
      </c>
      <c r="E164" s="85" t="str">
        <f t="shared" si="3"/>
        <v>IX</v>
      </c>
      <c r="F164" s="84">
        <v>161200.0</v>
      </c>
    </row>
    <row r="165">
      <c r="A165" s="89" t="s">
        <v>493</v>
      </c>
      <c r="B165" s="85" t="s">
        <v>329</v>
      </c>
      <c r="C165" s="87" t="s">
        <v>181</v>
      </c>
      <c r="D165" s="91" t="s">
        <v>494</v>
      </c>
      <c r="E165" s="85" t="str">
        <f t="shared" si="3"/>
        <v>IX</v>
      </c>
      <c r="F165" s="84">
        <v>161200.0</v>
      </c>
    </row>
    <row r="166">
      <c r="A166" s="85" t="s">
        <v>495</v>
      </c>
      <c r="B166" s="85" t="s">
        <v>329</v>
      </c>
      <c r="C166" s="88" t="s">
        <v>181</v>
      </c>
      <c r="D166" s="88" t="s">
        <v>496</v>
      </c>
      <c r="E166" s="85" t="str">
        <f t="shared" si="3"/>
        <v>IX</v>
      </c>
      <c r="F166" s="84">
        <v>150700.0</v>
      </c>
    </row>
    <row r="167">
      <c r="A167" s="85" t="s">
        <v>497</v>
      </c>
      <c r="B167" s="85" t="s">
        <v>329</v>
      </c>
      <c r="C167" s="87" t="s">
        <v>181</v>
      </c>
      <c r="D167" s="87" t="s">
        <v>498</v>
      </c>
      <c r="E167" s="85" t="str">
        <f t="shared" si="3"/>
        <v>IX</v>
      </c>
      <c r="F167" s="84">
        <v>150700.0</v>
      </c>
    </row>
    <row r="168">
      <c r="A168" s="85" t="s">
        <v>499</v>
      </c>
      <c r="B168" s="85" t="s">
        <v>329</v>
      </c>
      <c r="C168" s="88" t="s">
        <v>330</v>
      </c>
      <c r="D168" s="88" t="s">
        <v>500</v>
      </c>
      <c r="E168" s="85" t="str">
        <f t="shared" si="3"/>
        <v>IX</v>
      </c>
      <c r="F168" s="1">
        <v>583000.0</v>
      </c>
    </row>
    <row r="169">
      <c r="A169" s="85" t="s">
        <v>501</v>
      </c>
      <c r="B169" s="85" t="s">
        <v>329</v>
      </c>
      <c r="C169" s="87" t="s">
        <v>330</v>
      </c>
      <c r="D169" s="87" t="s">
        <v>502</v>
      </c>
      <c r="E169" s="85" t="str">
        <f t="shared" si="3"/>
        <v>IX</v>
      </c>
      <c r="F169" s="1">
        <v>285000.0</v>
      </c>
    </row>
    <row r="170">
      <c r="A170" s="85" t="s">
        <v>503</v>
      </c>
      <c r="B170" s="85" t="s">
        <v>504</v>
      </c>
      <c r="C170" s="88" t="s">
        <v>186</v>
      </c>
      <c r="D170" s="88" t="s">
        <v>505</v>
      </c>
      <c r="E170" s="85" t="str">
        <f t="shared" si="3"/>
        <v>Ni</v>
      </c>
      <c r="F170" s="84">
        <v>15900.0</v>
      </c>
    </row>
    <row r="171">
      <c r="A171" s="85" t="s">
        <v>506</v>
      </c>
      <c r="B171" s="85" t="s">
        <v>504</v>
      </c>
      <c r="C171" s="87" t="s">
        <v>186</v>
      </c>
      <c r="D171" s="87" t="s">
        <v>507</v>
      </c>
      <c r="E171" s="85" t="str">
        <f t="shared" si="3"/>
        <v>Ni</v>
      </c>
      <c r="F171" s="84">
        <v>15900.0</v>
      </c>
    </row>
    <row r="172">
      <c r="A172" s="85" t="s">
        <v>508</v>
      </c>
      <c r="B172" s="85" t="s">
        <v>504</v>
      </c>
      <c r="C172" s="88" t="s">
        <v>186</v>
      </c>
      <c r="D172" s="88" t="s">
        <v>509</v>
      </c>
      <c r="E172" s="85" t="str">
        <f t="shared" si="3"/>
        <v>Ni</v>
      </c>
      <c r="F172" s="84">
        <v>43750.0</v>
      </c>
    </row>
    <row r="173">
      <c r="A173" s="89" t="s">
        <v>510</v>
      </c>
      <c r="B173" s="85" t="s">
        <v>504</v>
      </c>
      <c r="C173" s="88" t="s">
        <v>186</v>
      </c>
      <c r="D173" s="90" t="s">
        <v>511</v>
      </c>
      <c r="E173" s="85" t="str">
        <f t="shared" si="3"/>
        <v>Ni</v>
      </c>
      <c r="F173" s="84">
        <v>43750.0</v>
      </c>
    </row>
    <row r="174">
      <c r="A174" s="85" t="s">
        <v>512</v>
      </c>
      <c r="B174" s="85" t="s">
        <v>504</v>
      </c>
      <c r="C174" s="87" t="s">
        <v>186</v>
      </c>
      <c r="D174" s="87" t="s">
        <v>513</v>
      </c>
      <c r="E174" s="85" t="str">
        <f t="shared" si="3"/>
        <v>Ni</v>
      </c>
      <c r="F174" s="84">
        <v>15900.0</v>
      </c>
    </row>
    <row r="175">
      <c r="A175" s="85" t="s">
        <v>514</v>
      </c>
      <c r="B175" s="85" t="s">
        <v>504</v>
      </c>
      <c r="C175" s="88" t="s">
        <v>186</v>
      </c>
      <c r="D175" s="88" t="s">
        <v>515</v>
      </c>
      <c r="E175" s="85" t="str">
        <f t="shared" si="3"/>
        <v>Ni</v>
      </c>
      <c r="F175" s="84">
        <v>12500.0</v>
      </c>
    </row>
    <row r="176">
      <c r="A176" s="85" t="s">
        <v>516</v>
      </c>
      <c r="B176" s="85" t="s">
        <v>504</v>
      </c>
      <c r="C176" s="87" t="s">
        <v>186</v>
      </c>
      <c r="D176" s="87" t="s">
        <v>517</v>
      </c>
      <c r="E176" s="85" t="str">
        <f t="shared" si="3"/>
        <v>Ni</v>
      </c>
      <c r="F176" s="84">
        <v>13200.0</v>
      </c>
    </row>
    <row r="177">
      <c r="A177" s="85" t="s">
        <v>518</v>
      </c>
      <c r="B177" s="85" t="s">
        <v>504</v>
      </c>
      <c r="C177" s="88" t="s">
        <v>186</v>
      </c>
      <c r="D177" s="88" t="s">
        <v>519</v>
      </c>
      <c r="E177" s="85" t="str">
        <f t="shared" si="3"/>
        <v>Ni</v>
      </c>
      <c r="F177" s="84">
        <v>13200.0</v>
      </c>
    </row>
    <row r="178">
      <c r="A178" s="85" t="s">
        <v>520</v>
      </c>
      <c r="B178" s="85" t="s">
        <v>504</v>
      </c>
      <c r="C178" s="87" t="s">
        <v>186</v>
      </c>
      <c r="D178" s="87" t="s">
        <v>521</v>
      </c>
      <c r="E178" s="85" t="str">
        <f t="shared" si="3"/>
        <v>Ni</v>
      </c>
      <c r="F178" s="84">
        <v>13200.0</v>
      </c>
    </row>
    <row r="179">
      <c r="A179" s="85" t="s">
        <v>522</v>
      </c>
      <c r="B179" s="85" t="s">
        <v>504</v>
      </c>
      <c r="C179" s="88" t="s">
        <v>186</v>
      </c>
      <c r="D179" s="88" t="s">
        <v>523</v>
      </c>
      <c r="E179" s="85" t="str">
        <f t="shared" si="3"/>
        <v>Ni</v>
      </c>
      <c r="F179" s="84">
        <v>13200.0</v>
      </c>
    </row>
    <row r="180">
      <c r="A180" s="85" t="s">
        <v>524</v>
      </c>
      <c r="B180" s="85" t="s">
        <v>504</v>
      </c>
      <c r="C180" s="87" t="s">
        <v>186</v>
      </c>
      <c r="D180" s="87" t="s">
        <v>525</v>
      </c>
      <c r="E180" s="85" t="str">
        <f t="shared" si="3"/>
        <v>Ni</v>
      </c>
      <c r="F180" s="84">
        <v>13200.0</v>
      </c>
    </row>
    <row r="181">
      <c r="A181" s="85" t="s">
        <v>526</v>
      </c>
      <c r="B181" s="85" t="s">
        <v>504</v>
      </c>
      <c r="C181" s="88" t="s">
        <v>186</v>
      </c>
      <c r="D181" s="88" t="s">
        <v>527</v>
      </c>
      <c r="E181" s="85" t="str">
        <f t="shared" si="3"/>
        <v>Ni</v>
      </c>
      <c r="F181" s="84">
        <v>15900.0</v>
      </c>
    </row>
    <row r="182">
      <c r="A182" s="85" t="s">
        <v>528</v>
      </c>
      <c r="B182" s="85" t="s">
        <v>504</v>
      </c>
      <c r="C182" s="87" t="s">
        <v>186</v>
      </c>
      <c r="D182" s="87" t="s">
        <v>529</v>
      </c>
      <c r="E182" s="85" t="str">
        <f t="shared" si="3"/>
        <v>Ni</v>
      </c>
      <c r="F182" s="84">
        <v>13200.0</v>
      </c>
    </row>
    <row r="183">
      <c r="A183" s="85" t="s">
        <v>530</v>
      </c>
      <c r="B183" s="85" t="s">
        <v>504</v>
      </c>
      <c r="C183" s="88" t="s">
        <v>186</v>
      </c>
      <c r="D183" s="88" t="s">
        <v>531</v>
      </c>
      <c r="E183" s="85" t="str">
        <f t="shared" si="3"/>
        <v>Ni</v>
      </c>
      <c r="F183" s="84">
        <v>13200.0</v>
      </c>
    </row>
    <row r="184">
      <c r="A184" s="85" t="s">
        <v>532</v>
      </c>
      <c r="B184" s="85" t="s">
        <v>504</v>
      </c>
      <c r="C184" s="87" t="s">
        <v>186</v>
      </c>
      <c r="D184" s="87" t="s">
        <v>533</v>
      </c>
      <c r="E184" s="85" t="str">
        <f t="shared" si="3"/>
        <v>Ni</v>
      </c>
      <c r="F184" s="84">
        <v>49000.0</v>
      </c>
    </row>
    <row r="185">
      <c r="A185" s="82" t="s">
        <v>534</v>
      </c>
      <c r="B185" s="82" t="s">
        <v>74</v>
      </c>
      <c r="C185" s="82" t="s">
        <v>535</v>
      </c>
      <c r="D185" s="82" t="s">
        <v>22</v>
      </c>
      <c r="E185" s="95" t="str">
        <f t="shared" si="3"/>
        <v>IX</v>
      </c>
      <c r="F185" s="84">
        <v>114500.0</v>
      </c>
    </row>
    <row r="186">
      <c r="A186" s="85" t="s">
        <v>536</v>
      </c>
      <c r="B186" s="85" t="s">
        <v>504</v>
      </c>
      <c r="C186" s="88" t="s">
        <v>186</v>
      </c>
      <c r="D186" s="88" t="s">
        <v>537</v>
      </c>
      <c r="E186" s="85" t="str">
        <f t="shared" si="3"/>
        <v>Ni</v>
      </c>
      <c r="F186" s="84">
        <v>49000.0</v>
      </c>
    </row>
    <row r="187">
      <c r="A187" s="85" t="s">
        <v>538</v>
      </c>
      <c r="B187" s="85" t="s">
        <v>504</v>
      </c>
      <c r="C187" s="87" t="s">
        <v>186</v>
      </c>
      <c r="D187" s="87" t="s">
        <v>539</v>
      </c>
      <c r="E187" s="85" t="str">
        <f t="shared" si="3"/>
        <v>Ni</v>
      </c>
      <c r="F187" s="84">
        <v>15900.0</v>
      </c>
    </row>
    <row r="188">
      <c r="A188" s="83" t="s">
        <v>540</v>
      </c>
      <c r="B188" s="83" t="s">
        <v>504</v>
      </c>
      <c r="C188" s="83" t="s">
        <v>186</v>
      </c>
      <c r="D188" s="83" t="s">
        <v>541</v>
      </c>
      <c r="E188" s="83" t="str">
        <f t="shared" si="3"/>
        <v>Ni</v>
      </c>
      <c r="F188" s="84">
        <v>12500.0</v>
      </c>
    </row>
    <row r="189">
      <c r="A189" s="85" t="s">
        <v>542</v>
      </c>
      <c r="B189" s="85" t="s">
        <v>504</v>
      </c>
      <c r="C189" s="87" t="s">
        <v>186</v>
      </c>
      <c r="D189" s="87" t="s">
        <v>543</v>
      </c>
      <c r="E189" s="85" t="str">
        <f t="shared" si="3"/>
        <v>Ni</v>
      </c>
      <c r="F189" s="84">
        <v>15900.0</v>
      </c>
    </row>
    <row r="190">
      <c r="A190" s="85" t="s">
        <v>544</v>
      </c>
      <c r="B190" s="85" t="s">
        <v>504</v>
      </c>
      <c r="C190" s="88" t="s">
        <v>186</v>
      </c>
      <c r="D190" s="88" t="s">
        <v>545</v>
      </c>
      <c r="E190" s="85" t="str">
        <f t="shared" si="3"/>
        <v>Ni</v>
      </c>
      <c r="F190" s="84">
        <v>12700.0</v>
      </c>
    </row>
    <row r="191">
      <c r="A191" s="85" t="s">
        <v>546</v>
      </c>
      <c r="B191" s="85" t="s">
        <v>504</v>
      </c>
      <c r="C191" s="87" t="s">
        <v>186</v>
      </c>
      <c r="D191" s="87" t="s">
        <v>547</v>
      </c>
      <c r="E191" s="85" t="str">
        <f t="shared" si="3"/>
        <v>Ni</v>
      </c>
      <c r="F191" s="84">
        <v>12500.0</v>
      </c>
    </row>
    <row r="192">
      <c r="A192" s="85" t="s">
        <v>548</v>
      </c>
      <c r="B192" s="85" t="s">
        <v>504</v>
      </c>
      <c r="C192" s="88" t="s">
        <v>186</v>
      </c>
      <c r="D192" s="88" t="s">
        <v>549</v>
      </c>
      <c r="E192" s="85" t="str">
        <f t="shared" si="3"/>
        <v>Ni</v>
      </c>
      <c r="F192" s="84">
        <v>15900.0</v>
      </c>
    </row>
    <row r="193">
      <c r="A193" s="85" t="s">
        <v>550</v>
      </c>
      <c r="B193" s="85" t="s">
        <v>504</v>
      </c>
      <c r="C193" s="87" t="s">
        <v>186</v>
      </c>
      <c r="D193" s="87" t="s">
        <v>551</v>
      </c>
      <c r="E193" s="85" t="str">
        <f t="shared" si="3"/>
        <v>Ni</v>
      </c>
      <c r="F193" s="84">
        <v>15900.0</v>
      </c>
    </row>
    <row r="194">
      <c r="A194" s="85" t="s">
        <v>552</v>
      </c>
      <c r="B194" s="85" t="s">
        <v>504</v>
      </c>
      <c r="C194" s="88" t="s">
        <v>186</v>
      </c>
      <c r="D194" s="88" t="s">
        <v>553</v>
      </c>
      <c r="E194" s="85" t="str">
        <f t="shared" si="3"/>
        <v>Ni</v>
      </c>
      <c r="F194" s="84">
        <v>12500.0</v>
      </c>
    </row>
    <row r="195">
      <c r="A195" s="85" t="s">
        <v>554</v>
      </c>
      <c r="B195" s="85" t="s">
        <v>504</v>
      </c>
      <c r="C195" s="87" t="s">
        <v>186</v>
      </c>
      <c r="D195" s="87" t="s">
        <v>555</v>
      </c>
      <c r="E195" s="85" t="str">
        <f t="shared" si="3"/>
        <v>Ni</v>
      </c>
      <c r="F195" s="84">
        <v>15900.0</v>
      </c>
    </row>
    <row r="196">
      <c r="A196" s="85" t="s">
        <v>556</v>
      </c>
      <c r="B196" s="85" t="s">
        <v>504</v>
      </c>
      <c r="C196" s="88" t="s">
        <v>186</v>
      </c>
      <c r="D196" s="88" t="s">
        <v>557</v>
      </c>
      <c r="E196" s="85" t="str">
        <f t="shared" si="3"/>
        <v>Ni</v>
      </c>
      <c r="F196" s="84">
        <v>12500.0</v>
      </c>
    </row>
    <row r="197">
      <c r="A197" s="83" t="s">
        <v>558</v>
      </c>
      <c r="B197" s="83" t="s">
        <v>504</v>
      </c>
      <c r="C197" s="83" t="s">
        <v>186</v>
      </c>
      <c r="D197" s="83" t="s">
        <v>559</v>
      </c>
      <c r="E197" s="83" t="str">
        <f t="shared" si="3"/>
        <v>Ni</v>
      </c>
      <c r="F197" s="84">
        <v>12500.0</v>
      </c>
    </row>
    <row r="198">
      <c r="A198" s="85" t="s">
        <v>560</v>
      </c>
      <c r="B198" s="85" t="s">
        <v>504</v>
      </c>
      <c r="C198" s="88" t="s">
        <v>186</v>
      </c>
      <c r="D198" s="88" t="s">
        <v>561</v>
      </c>
      <c r="E198" s="85" t="str">
        <f t="shared" si="3"/>
        <v>Ni</v>
      </c>
      <c r="F198" s="84">
        <v>12500.0</v>
      </c>
    </row>
    <row r="199">
      <c r="A199" s="85" t="s">
        <v>562</v>
      </c>
      <c r="B199" s="85" t="s">
        <v>504</v>
      </c>
      <c r="C199" s="87" t="s">
        <v>186</v>
      </c>
      <c r="D199" s="87" t="s">
        <v>563</v>
      </c>
      <c r="E199" s="85" t="str">
        <f t="shared" si="3"/>
        <v>Ni</v>
      </c>
      <c r="F199" s="84">
        <v>12500.0</v>
      </c>
    </row>
    <row r="200">
      <c r="A200" s="85" t="s">
        <v>564</v>
      </c>
      <c r="B200" s="85" t="s">
        <v>504</v>
      </c>
      <c r="C200" s="88" t="s">
        <v>186</v>
      </c>
      <c r="D200" s="88" t="s">
        <v>565</v>
      </c>
      <c r="E200" s="85" t="str">
        <f t="shared" si="3"/>
        <v>Ni</v>
      </c>
      <c r="F200" s="84">
        <v>12500.0</v>
      </c>
    </row>
    <row r="201">
      <c r="A201" s="85" t="s">
        <v>566</v>
      </c>
      <c r="B201" s="85" t="s">
        <v>504</v>
      </c>
      <c r="C201" s="87" t="s">
        <v>186</v>
      </c>
      <c r="D201" s="87" t="s">
        <v>567</v>
      </c>
      <c r="E201" s="85" t="str">
        <f t="shared" si="3"/>
        <v>Ni</v>
      </c>
      <c r="F201" s="84">
        <v>12500.0</v>
      </c>
    </row>
    <row r="202">
      <c r="A202" s="85" t="s">
        <v>568</v>
      </c>
      <c r="B202" s="85" t="s">
        <v>504</v>
      </c>
      <c r="C202" s="88" t="s">
        <v>186</v>
      </c>
      <c r="D202" s="88" t="s">
        <v>569</v>
      </c>
      <c r="E202" s="85" t="str">
        <f t="shared" si="3"/>
        <v>Ni</v>
      </c>
      <c r="F202" s="84">
        <v>43750.0</v>
      </c>
    </row>
    <row r="203">
      <c r="A203" s="85" t="s">
        <v>570</v>
      </c>
      <c r="B203" s="85" t="s">
        <v>504</v>
      </c>
      <c r="C203" s="87" t="s">
        <v>186</v>
      </c>
      <c r="D203" s="87" t="s">
        <v>571</v>
      </c>
      <c r="E203" s="85" t="str">
        <f t="shared" si="3"/>
        <v>Ni</v>
      </c>
      <c r="F203" s="84">
        <v>15900.0</v>
      </c>
    </row>
    <row r="204">
      <c r="A204" s="85" t="s">
        <v>572</v>
      </c>
      <c r="B204" s="85" t="s">
        <v>504</v>
      </c>
      <c r="C204" s="88" t="s">
        <v>186</v>
      </c>
      <c r="D204" s="88" t="s">
        <v>573</v>
      </c>
      <c r="E204" s="85" t="str">
        <f t="shared" si="3"/>
        <v>Ni</v>
      </c>
      <c r="F204" s="84">
        <v>15900.0</v>
      </c>
    </row>
    <row r="205">
      <c r="A205" s="85" t="s">
        <v>574</v>
      </c>
      <c r="B205" s="85" t="s">
        <v>504</v>
      </c>
      <c r="C205" s="87" t="s">
        <v>186</v>
      </c>
      <c r="D205" s="87" t="s">
        <v>575</v>
      </c>
      <c r="E205" s="85" t="str">
        <f t="shared" si="3"/>
        <v>Ni</v>
      </c>
      <c r="F205" s="84">
        <v>15900.0</v>
      </c>
    </row>
    <row r="206">
      <c r="A206" s="85" t="s">
        <v>576</v>
      </c>
      <c r="B206" s="85" t="s">
        <v>504</v>
      </c>
      <c r="C206" s="88" t="s">
        <v>186</v>
      </c>
      <c r="D206" s="88" t="s">
        <v>577</v>
      </c>
      <c r="E206" s="85" t="str">
        <f t="shared" si="3"/>
        <v>Ni</v>
      </c>
      <c r="F206" s="84">
        <v>57650.0</v>
      </c>
    </row>
    <row r="207">
      <c r="A207" s="85" t="s">
        <v>578</v>
      </c>
      <c r="B207" s="85" t="s">
        <v>504</v>
      </c>
      <c r="C207" s="87" t="s">
        <v>186</v>
      </c>
      <c r="D207" s="87" t="s">
        <v>579</v>
      </c>
      <c r="E207" s="85" t="str">
        <f t="shared" si="3"/>
        <v>Ni</v>
      </c>
      <c r="F207" s="1">
        <v>17900.0</v>
      </c>
    </row>
    <row r="208">
      <c r="A208" s="85" t="s">
        <v>580</v>
      </c>
      <c r="B208" s="85" t="s">
        <v>504</v>
      </c>
      <c r="C208" s="87" t="s">
        <v>186</v>
      </c>
      <c r="D208" s="88" t="s">
        <v>581</v>
      </c>
      <c r="E208" s="85" t="str">
        <f t="shared" si="3"/>
        <v>Ni</v>
      </c>
      <c r="F208" s="1">
        <v>17900.0</v>
      </c>
    </row>
    <row r="209">
      <c r="A209" s="85" t="s">
        <v>582</v>
      </c>
      <c r="B209" s="85" t="s">
        <v>504</v>
      </c>
      <c r="C209" s="88" t="s">
        <v>186</v>
      </c>
      <c r="D209" s="88" t="s">
        <v>583</v>
      </c>
      <c r="E209" s="85" t="str">
        <f t="shared" si="3"/>
        <v>Ni</v>
      </c>
      <c r="F209" s="84">
        <v>57650.0</v>
      </c>
    </row>
    <row r="210">
      <c r="A210" s="85" t="s">
        <v>584</v>
      </c>
      <c r="B210" s="85" t="s">
        <v>504</v>
      </c>
      <c r="C210" s="87" t="s">
        <v>186</v>
      </c>
      <c r="D210" s="87" t="s">
        <v>585</v>
      </c>
      <c r="E210" s="85" t="str">
        <f t="shared" si="3"/>
        <v>Ni</v>
      </c>
      <c r="F210" s="84">
        <v>17600.0</v>
      </c>
    </row>
    <row r="211">
      <c r="A211" s="85" t="s">
        <v>586</v>
      </c>
      <c r="B211" s="85" t="s">
        <v>504</v>
      </c>
      <c r="C211" s="88" t="s">
        <v>186</v>
      </c>
      <c r="D211" s="88" t="s">
        <v>587</v>
      </c>
      <c r="E211" s="85" t="str">
        <f t="shared" si="3"/>
        <v>Ni</v>
      </c>
      <c r="F211" s="84">
        <v>20800.0</v>
      </c>
    </row>
    <row r="212">
      <c r="A212" s="85" t="s">
        <v>588</v>
      </c>
      <c r="B212" s="85" t="s">
        <v>504</v>
      </c>
      <c r="C212" s="87" t="s">
        <v>186</v>
      </c>
      <c r="D212" s="87" t="s">
        <v>589</v>
      </c>
      <c r="E212" s="85" t="str">
        <f t="shared" si="3"/>
        <v>Ni</v>
      </c>
      <c r="F212" s="84">
        <v>17600.0</v>
      </c>
    </row>
    <row r="213">
      <c r="A213" s="85" t="s">
        <v>590</v>
      </c>
      <c r="B213" s="85" t="s">
        <v>504</v>
      </c>
      <c r="C213" s="88" t="s">
        <v>186</v>
      </c>
      <c r="D213" s="88" t="s">
        <v>591</v>
      </c>
      <c r="E213" s="85" t="str">
        <f t="shared" si="3"/>
        <v>Ni</v>
      </c>
      <c r="F213" s="84">
        <v>16000.0</v>
      </c>
    </row>
    <row r="214">
      <c r="A214" s="85" t="s">
        <v>592</v>
      </c>
      <c r="B214" s="85" t="s">
        <v>504</v>
      </c>
      <c r="C214" s="87" t="s">
        <v>186</v>
      </c>
      <c r="D214" s="87" t="s">
        <v>593</v>
      </c>
      <c r="E214" s="85" t="str">
        <f t="shared" si="3"/>
        <v>Ni</v>
      </c>
      <c r="F214" s="84">
        <v>16000.0</v>
      </c>
    </row>
    <row r="215">
      <c r="A215" s="85" t="s">
        <v>594</v>
      </c>
      <c r="B215" s="85" t="s">
        <v>504</v>
      </c>
      <c r="C215" s="88" t="s">
        <v>186</v>
      </c>
      <c r="D215" s="88" t="s">
        <v>595</v>
      </c>
      <c r="E215" s="85" t="str">
        <f t="shared" si="3"/>
        <v>Ni</v>
      </c>
      <c r="F215" s="84">
        <v>18900.0</v>
      </c>
    </row>
    <row r="216">
      <c r="A216" s="85" t="s">
        <v>596</v>
      </c>
      <c r="B216" s="85" t="s">
        <v>504</v>
      </c>
      <c r="C216" s="87" t="s">
        <v>186</v>
      </c>
      <c r="D216" s="87" t="s">
        <v>597</v>
      </c>
      <c r="E216" s="85" t="str">
        <f t="shared" si="3"/>
        <v>Ni</v>
      </c>
      <c r="F216" s="84">
        <v>35600.0</v>
      </c>
    </row>
    <row r="217">
      <c r="A217" s="85" t="s">
        <v>598</v>
      </c>
      <c r="B217" s="85" t="s">
        <v>504</v>
      </c>
      <c r="C217" s="88" t="s">
        <v>186</v>
      </c>
      <c r="D217" s="88" t="s">
        <v>599</v>
      </c>
      <c r="E217" s="85" t="str">
        <f t="shared" si="3"/>
        <v>Ni</v>
      </c>
      <c r="F217" s="84">
        <v>22800.0</v>
      </c>
    </row>
    <row r="218">
      <c r="A218" s="85" t="s">
        <v>600</v>
      </c>
      <c r="B218" s="85" t="s">
        <v>504</v>
      </c>
      <c r="C218" s="87" t="s">
        <v>186</v>
      </c>
      <c r="D218" s="87" t="s">
        <v>601</v>
      </c>
      <c r="E218" s="85" t="str">
        <f t="shared" si="3"/>
        <v>Ni</v>
      </c>
      <c r="F218" s="84">
        <v>27000.0</v>
      </c>
    </row>
    <row r="219">
      <c r="A219" s="85" t="s">
        <v>602</v>
      </c>
      <c r="B219" s="85" t="s">
        <v>504</v>
      </c>
      <c r="C219" s="88" t="s">
        <v>186</v>
      </c>
      <c r="D219" s="88" t="s">
        <v>603</v>
      </c>
      <c r="E219" s="85" t="str">
        <f t="shared" si="3"/>
        <v>Ni</v>
      </c>
      <c r="F219" s="84">
        <v>27000.0</v>
      </c>
    </row>
    <row r="220">
      <c r="A220" s="85" t="s">
        <v>604</v>
      </c>
      <c r="B220" s="85" t="s">
        <v>504</v>
      </c>
      <c r="C220" s="87" t="s">
        <v>186</v>
      </c>
      <c r="D220" s="87" t="s">
        <v>605</v>
      </c>
      <c r="E220" s="85" t="str">
        <f t="shared" si="3"/>
        <v>Ni</v>
      </c>
      <c r="F220" s="84">
        <v>35600.0</v>
      </c>
    </row>
    <row r="221">
      <c r="A221" s="85" t="s">
        <v>606</v>
      </c>
      <c r="B221" s="85" t="s">
        <v>504</v>
      </c>
      <c r="C221" s="88" t="s">
        <v>186</v>
      </c>
      <c r="D221" s="88" t="s">
        <v>607</v>
      </c>
      <c r="E221" s="85" t="str">
        <f t="shared" si="3"/>
        <v>Ni</v>
      </c>
      <c r="F221" s="84">
        <v>55380.0</v>
      </c>
    </row>
    <row r="222">
      <c r="A222" s="85" t="s">
        <v>608</v>
      </c>
      <c r="B222" s="85" t="s">
        <v>504</v>
      </c>
      <c r="C222" s="87" t="s">
        <v>186</v>
      </c>
      <c r="D222" s="87" t="s">
        <v>609</v>
      </c>
      <c r="E222" s="85" t="str">
        <f t="shared" si="3"/>
        <v>Ni</v>
      </c>
      <c r="F222" s="84">
        <v>17600.0</v>
      </c>
    </row>
    <row r="223">
      <c r="A223" s="85" t="s">
        <v>610</v>
      </c>
      <c r="B223" s="85" t="s">
        <v>504</v>
      </c>
      <c r="C223" s="88" t="s">
        <v>186</v>
      </c>
      <c r="D223" s="88" t="s">
        <v>611</v>
      </c>
      <c r="E223" s="85" t="str">
        <f t="shared" si="3"/>
        <v>Ni</v>
      </c>
      <c r="F223" s="84">
        <v>69100.0</v>
      </c>
    </row>
    <row r="224">
      <c r="A224" s="85" t="s">
        <v>612</v>
      </c>
      <c r="B224" s="85" t="s">
        <v>504</v>
      </c>
      <c r="C224" s="87" t="s">
        <v>186</v>
      </c>
      <c r="D224" s="87" t="s">
        <v>613</v>
      </c>
      <c r="E224" s="85" t="str">
        <f t="shared" si="3"/>
        <v>Ni</v>
      </c>
      <c r="F224" s="84">
        <v>17600.0</v>
      </c>
    </row>
    <row r="225">
      <c r="A225" s="83" t="s">
        <v>614</v>
      </c>
      <c r="B225" s="85" t="s">
        <v>74</v>
      </c>
      <c r="C225" s="88" t="s">
        <v>334</v>
      </c>
      <c r="D225" s="88" t="s">
        <v>615</v>
      </c>
      <c r="E225" s="85" t="str">
        <f t="shared" si="3"/>
        <v>IX</v>
      </c>
      <c r="F225" s="84">
        <v>71700.0</v>
      </c>
    </row>
    <row r="226">
      <c r="A226" s="85" t="s">
        <v>616</v>
      </c>
      <c r="B226" s="85" t="s">
        <v>74</v>
      </c>
      <c r="C226" s="87" t="s">
        <v>337</v>
      </c>
      <c r="D226" s="87" t="s">
        <v>617</v>
      </c>
      <c r="E226" s="85" t="str">
        <f t="shared" si="3"/>
        <v>GP</v>
      </c>
      <c r="F226" s="84">
        <v>26800.0</v>
      </c>
    </row>
    <row r="227">
      <c r="A227" s="85" t="s">
        <v>618</v>
      </c>
      <c r="B227" s="85" t="s">
        <v>74</v>
      </c>
      <c r="C227" s="88" t="s">
        <v>337</v>
      </c>
      <c r="D227" s="88" t="s">
        <v>619</v>
      </c>
      <c r="E227" s="85" t="str">
        <f t="shared" si="3"/>
        <v>GP</v>
      </c>
      <c r="F227" s="84">
        <v>26800.0</v>
      </c>
    </row>
    <row r="228">
      <c r="A228" s="82" t="s">
        <v>620</v>
      </c>
      <c r="B228" s="85" t="s">
        <v>74</v>
      </c>
      <c r="C228" s="87" t="s">
        <v>337</v>
      </c>
      <c r="D228" s="87" t="s">
        <v>34</v>
      </c>
      <c r="E228" s="85" t="str">
        <f t="shared" si="3"/>
        <v>GP</v>
      </c>
      <c r="F228" s="1">
        <v>26800.0</v>
      </c>
    </row>
    <row r="229">
      <c r="A229" s="85" t="s">
        <v>621</v>
      </c>
      <c r="B229" s="85" t="s">
        <v>74</v>
      </c>
      <c r="C229" s="88" t="s">
        <v>334</v>
      </c>
      <c r="D229" s="88" t="s">
        <v>622</v>
      </c>
      <c r="E229" s="85" t="str">
        <f t="shared" si="3"/>
        <v>IX</v>
      </c>
      <c r="F229" s="84">
        <v>71700.0</v>
      </c>
    </row>
    <row r="230">
      <c r="A230" s="85" t="s">
        <v>623</v>
      </c>
      <c r="B230" s="85" t="s">
        <v>74</v>
      </c>
      <c r="C230" s="87" t="s">
        <v>334</v>
      </c>
      <c r="D230" s="87" t="s">
        <v>624</v>
      </c>
      <c r="E230" s="85" t="str">
        <f t="shared" si="3"/>
        <v>IX</v>
      </c>
      <c r="F230" s="84">
        <v>71700.0</v>
      </c>
    </row>
    <row r="231">
      <c r="A231" s="82" t="s">
        <v>625</v>
      </c>
      <c r="B231" s="85" t="s">
        <v>74</v>
      </c>
      <c r="C231" s="88" t="s">
        <v>337</v>
      </c>
      <c r="D231" s="88" t="s">
        <v>626</v>
      </c>
      <c r="E231" s="85" t="str">
        <f t="shared" si="3"/>
        <v>GP</v>
      </c>
      <c r="F231" s="1">
        <v>26800.0</v>
      </c>
    </row>
    <row r="232">
      <c r="A232" s="85" t="s">
        <v>627</v>
      </c>
      <c r="B232" s="85" t="s">
        <v>74</v>
      </c>
      <c r="C232" s="87" t="s">
        <v>334</v>
      </c>
      <c r="D232" s="87" t="s">
        <v>628</v>
      </c>
      <c r="E232" s="85" t="str">
        <f t="shared" si="3"/>
        <v>IX</v>
      </c>
      <c r="F232" s="84">
        <v>71700.0</v>
      </c>
    </row>
    <row r="233">
      <c r="A233" s="85" t="s">
        <v>629</v>
      </c>
      <c r="B233" s="85" t="s">
        <v>74</v>
      </c>
      <c r="C233" s="88" t="s">
        <v>334</v>
      </c>
      <c r="D233" s="88" t="s">
        <v>630</v>
      </c>
      <c r="E233" s="85" t="str">
        <f t="shared" si="3"/>
        <v>IX</v>
      </c>
      <c r="F233" s="84">
        <v>71700.0</v>
      </c>
    </row>
    <row r="234">
      <c r="A234" s="89" t="s">
        <v>631</v>
      </c>
      <c r="B234" s="85" t="s">
        <v>74</v>
      </c>
      <c r="C234" s="87" t="s">
        <v>334</v>
      </c>
      <c r="D234" s="91" t="s">
        <v>79</v>
      </c>
      <c r="E234" s="85" t="str">
        <f t="shared" si="3"/>
        <v>IX</v>
      </c>
      <c r="F234" s="6">
        <v>71700.0</v>
      </c>
    </row>
    <row r="235">
      <c r="A235" s="85" t="s">
        <v>632</v>
      </c>
      <c r="B235" s="85" t="s">
        <v>74</v>
      </c>
      <c r="C235" s="87" t="s">
        <v>334</v>
      </c>
      <c r="D235" s="91" t="s">
        <v>32</v>
      </c>
      <c r="E235" s="85" t="str">
        <f t="shared" si="3"/>
        <v>IX</v>
      </c>
      <c r="F235" s="84">
        <v>71700.0</v>
      </c>
    </row>
    <row r="236">
      <c r="A236" s="85" t="s">
        <v>614</v>
      </c>
      <c r="B236" s="85" t="s">
        <v>74</v>
      </c>
      <c r="C236" s="88" t="s">
        <v>334</v>
      </c>
      <c r="D236" s="88" t="s">
        <v>633</v>
      </c>
      <c r="E236" s="85" t="str">
        <f t="shared" si="3"/>
        <v>IX</v>
      </c>
      <c r="F236" s="84">
        <v>71700.0</v>
      </c>
    </row>
    <row r="237">
      <c r="A237" s="85" t="s">
        <v>634</v>
      </c>
      <c r="B237" s="85" t="s">
        <v>74</v>
      </c>
      <c r="C237" s="87" t="s">
        <v>334</v>
      </c>
      <c r="D237" s="87" t="s">
        <v>635</v>
      </c>
      <c r="E237" s="85" t="str">
        <f t="shared" si="3"/>
        <v>IX</v>
      </c>
      <c r="F237" s="84">
        <v>71700.0</v>
      </c>
    </row>
    <row r="238">
      <c r="A238" s="85" t="s">
        <v>636</v>
      </c>
      <c r="B238" s="85" t="s">
        <v>74</v>
      </c>
      <c r="C238" s="88" t="s">
        <v>337</v>
      </c>
      <c r="D238" s="90" t="s">
        <v>36</v>
      </c>
      <c r="E238" s="85" t="str">
        <f t="shared" si="3"/>
        <v>GP</v>
      </c>
      <c r="F238" s="84">
        <v>26800.0</v>
      </c>
    </row>
    <row r="239">
      <c r="A239" s="82" t="s">
        <v>637</v>
      </c>
      <c r="B239" s="85" t="s">
        <v>74</v>
      </c>
      <c r="C239" s="88" t="s">
        <v>337</v>
      </c>
      <c r="D239" s="90" t="s">
        <v>638</v>
      </c>
      <c r="E239" s="85" t="str">
        <f t="shared" si="3"/>
        <v>GP</v>
      </c>
      <c r="F239" s="84">
        <v>26800.0</v>
      </c>
    </row>
    <row r="240">
      <c r="A240" s="85" t="s">
        <v>639</v>
      </c>
      <c r="B240" s="85" t="s">
        <v>74</v>
      </c>
      <c r="C240" s="87" t="s">
        <v>334</v>
      </c>
      <c r="D240" s="87" t="s">
        <v>640</v>
      </c>
      <c r="E240" s="85" t="str">
        <f t="shared" si="3"/>
        <v>IX</v>
      </c>
      <c r="F240" s="84">
        <v>71700.0</v>
      </c>
    </row>
    <row r="241">
      <c r="A241" s="85" t="s">
        <v>641</v>
      </c>
      <c r="B241" s="85" t="s">
        <v>74</v>
      </c>
      <c r="C241" s="88" t="s">
        <v>334</v>
      </c>
      <c r="D241" s="88" t="s">
        <v>642</v>
      </c>
      <c r="E241" s="85" t="str">
        <f t="shared" si="3"/>
        <v>IX</v>
      </c>
      <c r="F241" s="84">
        <v>71700.0</v>
      </c>
    </row>
    <row r="242">
      <c r="A242" s="82" t="s">
        <v>643</v>
      </c>
      <c r="B242" s="85" t="s">
        <v>74</v>
      </c>
      <c r="C242" s="88" t="s">
        <v>334</v>
      </c>
      <c r="D242" s="90" t="s">
        <v>644</v>
      </c>
      <c r="E242" s="85" t="str">
        <f t="shared" si="3"/>
        <v>IX</v>
      </c>
      <c r="F242" s="84">
        <v>71700.0</v>
      </c>
    </row>
    <row r="243">
      <c r="A243" s="85" t="s">
        <v>645</v>
      </c>
      <c r="B243" s="85" t="s">
        <v>74</v>
      </c>
      <c r="C243" s="87" t="s">
        <v>337</v>
      </c>
      <c r="D243" s="87" t="s">
        <v>646</v>
      </c>
      <c r="E243" s="85" t="str">
        <f t="shared" si="3"/>
        <v>GP</v>
      </c>
      <c r="F243" s="84">
        <v>26800.0</v>
      </c>
    </row>
    <row r="244">
      <c r="A244" s="85" t="s">
        <v>647</v>
      </c>
      <c r="B244" s="85" t="s">
        <v>74</v>
      </c>
      <c r="C244" s="88" t="s">
        <v>334</v>
      </c>
      <c r="D244" s="88" t="s">
        <v>648</v>
      </c>
      <c r="E244" s="85" t="str">
        <f t="shared" si="3"/>
        <v>IX</v>
      </c>
      <c r="F244" s="84">
        <v>71700.0</v>
      </c>
    </row>
    <row r="245">
      <c r="A245" s="85" t="s">
        <v>649</v>
      </c>
      <c r="B245" s="85" t="s">
        <v>74</v>
      </c>
      <c r="C245" s="87" t="s">
        <v>334</v>
      </c>
      <c r="D245" s="87" t="s">
        <v>650</v>
      </c>
      <c r="E245" s="85" t="str">
        <f t="shared" si="3"/>
        <v>IX</v>
      </c>
      <c r="F245" s="84">
        <v>71700.0</v>
      </c>
    </row>
    <row r="246">
      <c r="A246" s="89" t="s">
        <v>651</v>
      </c>
      <c r="B246" s="85" t="s">
        <v>74</v>
      </c>
      <c r="C246" s="87" t="s">
        <v>334</v>
      </c>
      <c r="D246" s="91" t="s">
        <v>652</v>
      </c>
      <c r="E246" s="85" t="str">
        <f t="shared" si="3"/>
        <v>IX</v>
      </c>
      <c r="F246" s="84">
        <v>71700.0</v>
      </c>
    </row>
    <row r="247">
      <c r="A247" s="85" t="s">
        <v>653</v>
      </c>
      <c r="B247" s="85" t="s">
        <v>74</v>
      </c>
      <c r="C247" s="88" t="s">
        <v>334</v>
      </c>
      <c r="D247" s="88" t="s">
        <v>654</v>
      </c>
      <c r="E247" s="85" t="str">
        <f t="shared" si="3"/>
        <v>IX</v>
      </c>
      <c r="F247" s="84">
        <v>71700.0</v>
      </c>
    </row>
    <row r="248">
      <c r="A248" s="89" t="s">
        <v>655</v>
      </c>
      <c r="B248" s="85" t="s">
        <v>74</v>
      </c>
      <c r="C248" s="87" t="s">
        <v>337</v>
      </c>
      <c r="D248" s="87" t="s">
        <v>35</v>
      </c>
      <c r="E248" s="85" t="str">
        <f t="shared" si="3"/>
        <v>GP</v>
      </c>
      <c r="F248" s="1">
        <v>26800.0</v>
      </c>
    </row>
    <row r="249">
      <c r="A249" s="89" t="s">
        <v>656</v>
      </c>
      <c r="B249" s="85" t="s">
        <v>74</v>
      </c>
      <c r="C249" s="87" t="s">
        <v>337</v>
      </c>
      <c r="D249" s="91" t="s">
        <v>657</v>
      </c>
      <c r="E249" s="85" t="str">
        <f t="shared" si="3"/>
        <v>GP</v>
      </c>
      <c r="F249" s="1">
        <v>26800.0</v>
      </c>
    </row>
    <row r="250">
      <c r="A250" s="85" t="s">
        <v>658</v>
      </c>
      <c r="B250" s="85" t="s">
        <v>74</v>
      </c>
      <c r="C250" s="88" t="s">
        <v>334</v>
      </c>
      <c r="D250" s="88" t="s">
        <v>659</v>
      </c>
      <c r="E250" s="85" t="str">
        <f t="shared" si="3"/>
        <v>IX</v>
      </c>
      <c r="F250" s="84">
        <v>71700.0</v>
      </c>
    </row>
    <row r="251">
      <c r="A251" s="82" t="s">
        <v>660</v>
      </c>
      <c r="B251" s="85" t="s">
        <v>74</v>
      </c>
      <c r="C251" s="88" t="s">
        <v>334</v>
      </c>
      <c r="D251" s="90" t="s">
        <v>661</v>
      </c>
      <c r="E251" s="85" t="str">
        <f t="shared" si="3"/>
        <v>IX</v>
      </c>
      <c r="F251" s="84">
        <v>71700.0</v>
      </c>
    </row>
    <row r="252">
      <c r="A252" s="85" t="s">
        <v>662</v>
      </c>
      <c r="B252" s="85" t="s">
        <v>74</v>
      </c>
      <c r="C252" s="87" t="s">
        <v>334</v>
      </c>
      <c r="D252" s="87" t="s">
        <v>663</v>
      </c>
      <c r="E252" s="85" t="str">
        <f t="shared" si="3"/>
        <v>IX</v>
      </c>
      <c r="F252" s="84">
        <v>71700.0</v>
      </c>
    </row>
    <row r="253">
      <c r="A253" s="85" t="s">
        <v>664</v>
      </c>
      <c r="B253" s="85" t="s">
        <v>74</v>
      </c>
      <c r="C253" s="88" t="s">
        <v>181</v>
      </c>
      <c r="D253" s="88" t="s">
        <v>665</v>
      </c>
      <c r="E253" s="85" t="str">
        <f t="shared" si="3"/>
        <v>IX</v>
      </c>
      <c r="F253" s="1">
        <v>150700.0</v>
      </c>
    </row>
    <row r="254">
      <c r="A254" s="85" t="s">
        <v>666</v>
      </c>
      <c r="B254" s="85" t="s">
        <v>74</v>
      </c>
      <c r="C254" s="87" t="s">
        <v>181</v>
      </c>
      <c r="D254" s="87" t="s">
        <v>667</v>
      </c>
      <c r="E254" s="85" t="str">
        <f t="shared" si="3"/>
        <v>IX</v>
      </c>
      <c r="F254" s="1">
        <v>150700.0</v>
      </c>
    </row>
    <row r="255">
      <c r="A255" s="85" t="s">
        <v>668</v>
      </c>
      <c r="B255" s="85" t="s">
        <v>74</v>
      </c>
      <c r="C255" s="88" t="s">
        <v>181</v>
      </c>
      <c r="D255" s="88" t="s">
        <v>669</v>
      </c>
      <c r="E255" s="85" t="str">
        <f t="shared" si="3"/>
        <v>IX</v>
      </c>
      <c r="F255" s="84">
        <v>150700.0</v>
      </c>
    </row>
    <row r="256">
      <c r="A256" s="85" t="s">
        <v>670</v>
      </c>
      <c r="B256" s="85" t="s">
        <v>74</v>
      </c>
      <c r="C256" s="87" t="s">
        <v>181</v>
      </c>
      <c r="D256" s="87" t="s">
        <v>671</v>
      </c>
      <c r="E256" s="85" t="str">
        <f t="shared" si="3"/>
        <v>IX</v>
      </c>
      <c r="F256" s="84">
        <v>150700.0</v>
      </c>
    </row>
    <row r="257">
      <c r="A257" s="85" t="s">
        <v>672</v>
      </c>
      <c r="B257" s="85" t="s">
        <v>74</v>
      </c>
      <c r="C257" s="88" t="s">
        <v>181</v>
      </c>
      <c r="D257" s="88" t="s">
        <v>673</v>
      </c>
      <c r="E257" s="85" t="str">
        <f t="shared" si="3"/>
        <v>IX</v>
      </c>
      <c r="F257" s="84">
        <v>112500.0</v>
      </c>
    </row>
    <row r="258">
      <c r="A258" s="85" t="s">
        <v>674</v>
      </c>
      <c r="B258" s="85" t="s">
        <v>74</v>
      </c>
      <c r="C258" s="87" t="s">
        <v>181</v>
      </c>
      <c r="D258" s="87" t="s">
        <v>675</v>
      </c>
      <c r="E258" s="85" t="str">
        <f t="shared" si="3"/>
        <v>IX</v>
      </c>
      <c r="F258" s="84">
        <v>150700.0</v>
      </c>
    </row>
    <row r="259">
      <c r="A259" s="82" t="s">
        <v>676</v>
      </c>
      <c r="B259" s="85" t="s">
        <v>74</v>
      </c>
      <c r="C259" s="87" t="s">
        <v>181</v>
      </c>
      <c r="D259" s="90" t="s">
        <v>677</v>
      </c>
      <c r="E259" s="85" t="str">
        <f t="shared" si="3"/>
        <v>IX</v>
      </c>
      <c r="F259" s="84">
        <v>150700.0</v>
      </c>
    </row>
    <row r="260">
      <c r="A260" s="82" t="s">
        <v>678</v>
      </c>
      <c r="B260" s="85" t="s">
        <v>74</v>
      </c>
      <c r="C260" s="90" t="s">
        <v>181</v>
      </c>
      <c r="D260" s="90" t="s">
        <v>679</v>
      </c>
      <c r="E260" s="85" t="str">
        <f t="shared" si="3"/>
        <v>IX</v>
      </c>
      <c r="F260" s="84">
        <v>150700.0</v>
      </c>
    </row>
    <row r="261">
      <c r="A261" s="85" t="s">
        <v>680</v>
      </c>
      <c r="B261" s="85" t="s">
        <v>74</v>
      </c>
      <c r="C261" s="88" t="s">
        <v>181</v>
      </c>
      <c r="D261" s="88" t="s">
        <v>681</v>
      </c>
      <c r="E261" s="85" t="str">
        <f t="shared" si="3"/>
        <v>IX</v>
      </c>
      <c r="F261" s="84">
        <v>150700.0</v>
      </c>
    </row>
    <row r="262">
      <c r="A262" s="85" t="s">
        <v>682</v>
      </c>
      <c r="B262" s="85" t="s">
        <v>74</v>
      </c>
      <c r="C262" s="87" t="s">
        <v>181</v>
      </c>
      <c r="D262" s="87" t="s">
        <v>683</v>
      </c>
      <c r="E262" s="85" t="str">
        <f t="shared" si="3"/>
        <v>IX</v>
      </c>
      <c r="F262" s="84">
        <v>150700.0</v>
      </c>
    </row>
    <row r="263">
      <c r="A263" s="85" t="s">
        <v>684</v>
      </c>
      <c r="B263" s="85" t="s">
        <v>74</v>
      </c>
      <c r="C263" s="88" t="s">
        <v>181</v>
      </c>
      <c r="D263" s="88" t="s">
        <v>685</v>
      </c>
      <c r="E263" s="85" t="str">
        <f t="shared" si="3"/>
        <v>IX</v>
      </c>
      <c r="F263" s="84">
        <v>150700.0</v>
      </c>
    </row>
    <row r="264">
      <c r="A264" s="85" t="s">
        <v>686</v>
      </c>
      <c r="B264" s="85" t="s">
        <v>74</v>
      </c>
      <c r="C264" s="87" t="s">
        <v>181</v>
      </c>
      <c r="D264" s="87" t="s">
        <v>687</v>
      </c>
      <c r="E264" s="85" t="str">
        <f t="shared" si="3"/>
        <v>IX</v>
      </c>
      <c r="F264" s="84">
        <v>150700.0</v>
      </c>
    </row>
    <row r="265">
      <c r="A265" s="85" t="s">
        <v>688</v>
      </c>
      <c r="B265" s="85" t="s">
        <v>74</v>
      </c>
      <c r="C265" s="88" t="s">
        <v>181</v>
      </c>
      <c r="D265" s="88" t="s">
        <v>689</v>
      </c>
      <c r="E265" s="85" t="str">
        <f t="shared" si="3"/>
        <v>IX</v>
      </c>
      <c r="F265" s="84">
        <v>150700.0</v>
      </c>
    </row>
    <row r="266">
      <c r="A266" s="89" t="s">
        <v>690</v>
      </c>
      <c r="B266" s="85" t="s">
        <v>74</v>
      </c>
      <c r="C266" s="88" t="s">
        <v>181</v>
      </c>
      <c r="D266" s="90" t="s">
        <v>691</v>
      </c>
      <c r="E266" s="85" t="str">
        <f t="shared" si="3"/>
        <v>IX</v>
      </c>
      <c r="F266" s="84">
        <v>150700.0</v>
      </c>
    </row>
    <row r="267">
      <c r="A267" s="83" t="s">
        <v>692</v>
      </c>
      <c r="B267" s="85" t="s">
        <v>74</v>
      </c>
      <c r="C267" s="87" t="s">
        <v>181</v>
      </c>
      <c r="D267" s="87" t="s">
        <v>693</v>
      </c>
      <c r="E267" s="85" t="str">
        <f t="shared" si="3"/>
        <v>IX</v>
      </c>
      <c r="F267" s="84">
        <v>150700.0</v>
      </c>
    </row>
    <row r="268">
      <c r="A268" s="82" t="s">
        <v>694</v>
      </c>
      <c r="B268" s="83" t="s">
        <v>74</v>
      </c>
      <c r="C268" s="83" t="s">
        <v>181</v>
      </c>
      <c r="D268" s="82" t="s">
        <v>76</v>
      </c>
      <c r="E268" s="83" t="str">
        <f t="shared" si="3"/>
        <v>IX</v>
      </c>
      <c r="F268" s="92">
        <v>181300.0</v>
      </c>
    </row>
    <row r="269">
      <c r="A269" s="85" t="s">
        <v>695</v>
      </c>
      <c r="B269" s="85" t="s">
        <v>74</v>
      </c>
      <c r="C269" s="88" t="s">
        <v>181</v>
      </c>
      <c r="D269" s="82" t="s">
        <v>30</v>
      </c>
      <c r="E269" s="85" t="str">
        <f t="shared" si="3"/>
        <v>IX</v>
      </c>
      <c r="F269" s="84">
        <v>150700.0</v>
      </c>
    </row>
    <row r="270">
      <c r="A270" s="85" t="s">
        <v>696</v>
      </c>
      <c r="B270" s="85" t="s">
        <v>74</v>
      </c>
      <c r="C270" s="87" t="s">
        <v>181</v>
      </c>
      <c r="D270" s="87" t="s">
        <v>697</v>
      </c>
      <c r="E270" s="85" t="str">
        <f t="shared" si="3"/>
        <v>IX</v>
      </c>
      <c r="F270" s="84">
        <v>150700.0</v>
      </c>
    </row>
    <row r="271">
      <c r="A271" s="85" t="s">
        <v>698</v>
      </c>
      <c r="B271" s="85" t="s">
        <v>74</v>
      </c>
      <c r="C271" s="88" t="s">
        <v>181</v>
      </c>
      <c r="D271" s="88" t="s">
        <v>699</v>
      </c>
      <c r="E271" s="85" t="str">
        <f t="shared" si="3"/>
        <v>IX</v>
      </c>
      <c r="F271" s="84">
        <v>150700.0</v>
      </c>
    </row>
    <row r="272">
      <c r="A272" s="85" t="s">
        <v>700</v>
      </c>
      <c r="B272" s="85" t="s">
        <v>74</v>
      </c>
      <c r="C272" s="87" t="s">
        <v>181</v>
      </c>
      <c r="D272" s="87" t="s">
        <v>701</v>
      </c>
      <c r="E272" s="85" t="str">
        <f t="shared" si="3"/>
        <v>IX</v>
      </c>
      <c r="F272" s="84">
        <v>112500.0</v>
      </c>
    </row>
    <row r="273">
      <c r="A273" s="89" t="s">
        <v>702</v>
      </c>
      <c r="B273" s="85" t="s">
        <v>74</v>
      </c>
      <c r="C273" s="87" t="s">
        <v>181</v>
      </c>
      <c r="D273" s="91" t="s">
        <v>703</v>
      </c>
      <c r="E273" s="85" t="str">
        <f t="shared" si="3"/>
        <v>IX</v>
      </c>
      <c r="F273" s="84">
        <v>112500.0</v>
      </c>
    </row>
    <row r="274">
      <c r="A274" s="85" t="s">
        <v>704</v>
      </c>
      <c r="B274" s="85" t="s">
        <v>74</v>
      </c>
      <c r="C274" s="88" t="s">
        <v>181</v>
      </c>
      <c r="D274" s="88" t="s">
        <v>705</v>
      </c>
      <c r="E274" s="85" t="str">
        <f t="shared" si="3"/>
        <v>IX</v>
      </c>
      <c r="F274" s="84">
        <v>150700.0</v>
      </c>
    </row>
    <row r="275">
      <c r="A275" s="85" t="s">
        <v>706</v>
      </c>
      <c r="B275" s="85" t="s">
        <v>74</v>
      </c>
      <c r="C275" s="87" t="s">
        <v>181</v>
      </c>
      <c r="D275" s="87" t="s">
        <v>707</v>
      </c>
      <c r="E275" s="85" t="str">
        <f t="shared" si="3"/>
        <v>IX</v>
      </c>
      <c r="F275" s="84">
        <v>150700.0</v>
      </c>
    </row>
    <row r="276">
      <c r="A276" s="85" t="s">
        <v>708</v>
      </c>
      <c r="B276" s="85" t="s">
        <v>74</v>
      </c>
      <c r="C276" s="88" t="s">
        <v>181</v>
      </c>
      <c r="D276" s="82" t="s">
        <v>29</v>
      </c>
      <c r="E276" s="85" t="str">
        <f t="shared" si="3"/>
        <v>IX</v>
      </c>
      <c r="F276" s="84">
        <v>150700.0</v>
      </c>
    </row>
    <row r="277">
      <c r="A277" s="85" t="s">
        <v>709</v>
      </c>
      <c r="B277" s="85" t="s">
        <v>74</v>
      </c>
      <c r="C277" s="87" t="s">
        <v>181</v>
      </c>
      <c r="D277" s="87" t="s">
        <v>710</v>
      </c>
      <c r="E277" s="85" t="str">
        <f t="shared" si="3"/>
        <v>IX</v>
      </c>
      <c r="F277" s="84">
        <v>150700.0</v>
      </c>
    </row>
    <row r="278">
      <c r="A278" s="85" t="s">
        <v>711</v>
      </c>
      <c r="B278" s="85" t="s">
        <v>74</v>
      </c>
      <c r="C278" s="88" t="s">
        <v>181</v>
      </c>
      <c r="D278" s="88" t="s">
        <v>712</v>
      </c>
      <c r="E278" s="85" t="str">
        <f t="shared" si="3"/>
        <v>IX</v>
      </c>
      <c r="F278" s="84">
        <v>150700.0</v>
      </c>
    </row>
    <row r="279">
      <c r="A279" s="85" t="s">
        <v>713</v>
      </c>
      <c r="B279" s="85" t="s">
        <v>74</v>
      </c>
      <c r="C279" s="87" t="s">
        <v>181</v>
      </c>
      <c r="D279" s="87" t="s">
        <v>714</v>
      </c>
      <c r="E279" s="85" t="str">
        <f t="shared" si="3"/>
        <v>IX</v>
      </c>
      <c r="F279" s="84">
        <v>150700.0</v>
      </c>
    </row>
    <row r="280">
      <c r="A280" s="85" t="s">
        <v>715</v>
      </c>
      <c r="B280" s="85" t="s">
        <v>74</v>
      </c>
      <c r="C280" s="88" t="s">
        <v>181</v>
      </c>
      <c r="D280" s="88" t="s">
        <v>716</v>
      </c>
      <c r="E280" s="85" t="str">
        <f t="shared" si="3"/>
        <v>IX</v>
      </c>
      <c r="F280" s="84">
        <v>150700.0</v>
      </c>
    </row>
    <row r="281">
      <c r="A281" s="85" t="s">
        <v>717</v>
      </c>
      <c r="B281" s="85" t="s">
        <v>74</v>
      </c>
      <c r="C281" s="87" t="s">
        <v>181</v>
      </c>
      <c r="D281" s="87" t="s">
        <v>718</v>
      </c>
      <c r="E281" s="85" t="str">
        <f t="shared" si="3"/>
        <v>IX</v>
      </c>
      <c r="F281" s="84">
        <v>150700.0</v>
      </c>
    </row>
    <row r="282">
      <c r="A282" s="89" t="s">
        <v>719</v>
      </c>
      <c r="B282" s="85" t="s">
        <v>74</v>
      </c>
      <c r="C282" s="87" t="s">
        <v>181</v>
      </c>
      <c r="D282" s="91" t="s">
        <v>720</v>
      </c>
      <c r="E282" s="85" t="str">
        <f t="shared" si="3"/>
        <v>IX</v>
      </c>
      <c r="F282" s="84">
        <v>150700.0</v>
      </c>
    </row>
    <row r="283">
      <c r="A283" s="85" t="s">
        <v>721</v>
      </c>
      <c r="B283" s="85" t="s">
        <v>74</v>
      </c>
      <c r="C283" s="88" t="s">
        <v>181</v>
      </c>
      <c r="D283" s="88" t="s">
        <v>722</v>
      </c>
      <c r="E283" s="85" t="str">
        <f t="shared" si="3"/>
        <v>IX</v>
      </c>
      <c r="F283" s="84">
        <v>150700.0</v>
      </c>
    </row>
    <row r="284">
      <c r="A284" s="82" t="s">
        <v>723</v>
      </c>
      <c r="B284" s="85" t="s">
        <v>74</v>
      </c>
      <c r="C284" s="88" t="s">
        <v>181</v>
      </c>
      <c r="D284" s="91" t="s">
        <v>64</v>
      </c>
      <c r="E284" s="85" t="str">
        <f t="shared" si="3"/>
        <v>IX</v>
      </c>
      <c r="F284" s="6">
        <v>105700.0</v>
      </c>
    </row>
    <row r="285">
      <c r="A285" s="83" t="s">
        <v>724</v>
      </c>
      <c r="B285" s="85" t="s">
        <v>74</v>
      </c>
      <c r="C285" s="87" t="s">
        <v>181</v>
      </c>
      <c r="D285" s="87" t="s">
        <v>725</v>
      </c>
      <c r="E285" s="85" t="str">
        <f t="shared" si="3"/>
        <v>IX</v>
      </c>
      <c r="F285" s="84">
        <v>150700.0</v>
      </c>
    </row>
    <row r="286">
      <c r="A286" s="85" t="s">
        <v>726</v>
      </c>
      <c r="B286" s="85" t="s">
        <v>74</v>
      </c>
      <c r="C286" s="88" t="s">
        <v>181</v>
      </c>
      <c r="D286" s="90" t="s">
        <v>47</v>
      </c>
      <c r="E286" s="85" t="str">
        <f t="shared" si="3"/>
        <v>IX</v>
      </c>
      <c r="F286" s="84">
        <v>150700.0</v>
      </c>
    </row>
    <row r="287">
      <c r="A287" s="85" t="s">
        <v>727</v>
      </c>
      <c r="B287" s="85" t="s">
        <v>74</v>
      </c>
      <c r="C287" s="87" t="s">
        <v>181</v>
      </c>
      <c r="D287" s="87" t="s">
        <v>728</v>
      </c>
      <c r="E287" s="85" t="str">
        <f t="shared" si="3"/>
        <v>IX</v>
      </c>
      <c r="F287" s="84">
        <v>150700.0</v>
      </c>
    </row>
    <row r="288">
      <c r="A288" s="89" t="s">
        <v>729</v>
      </c>
      <c r="B288" s="85" t="s">
        <v>74</v>
      </c>
      <c r="C288" s="87" t="s">
        <v>181</v>
      </c>
      <c r="D288" s="91" t="s">
        <v>730</v>
      </c>
      <c r="E288" s="85" t="str">
        <f t="shared" si="3"/>
        <v>IX</v>
      </c>
      <c r="F288" s="84">
        <v>150700.0</v>
      </c>
    </row>
    <row r="289">
      <c r="A289" s="89" t="s">
        <v>731</v>
      </c>
      <c r="B289" s="89" t="s">
        <v>74</v>
      </c>
      <c r="C289" s="90" t="s">
        <v>181</v>
      </c>
      <c r="D289" s="90" t="s">
        <v>68</v>
      </c>
      <c r="E289" s="85" t="str">
        <f t="shared" si="3"/>
        <v>IX</v>
      </c>
      <c r="F289" s="6">
        <v>222700.0</v>
      </c>
    </row>
    <row r="290">
      <c r="A290" s="89" t="s">
        <v>732</v>
      </c>
      <c r="B290" s="89" t="s">
        <v>74</v>
      </c>
      <c r="C290" s="90" t="s">
        <v>181</v>
      </c>
      <c r="D290" s="96" t="s">
        <v>69</v>
      </c>
      <c r="E290" s="85" t="str">
        <f t="shared" si="3"/>
        <v>IX</v>
      </c>
      <c r="F290" s="6">
        <v>150700.0</v>
      </c>
    </row>
    <row r="291">
      <c r="A291" s="89" t="s">
        <v>733</v>
      </c>
      <c r="B291" s="89" t="s">
        <v>74</v>
      </c>
      <c r="C291" s="90" t="s">
        <v>181</v>
      </c>
      <c r="D291" s="96" t="s">
        <v>70</v>
      </c>
      <c r="E291" s="85" t="str">
        <f t="shared" si="3"/>
        <v>IX</v>
      </c>
      <c r="F291" s="6">
        <v>181300.0</v>
      </c>
    </row>
    <row r="292">
      <c r="A292" s="85" t="s">
        <v>734</v>
      </c>
      <c r="B292" s="85" t="s">
        <v>74</v>
      </c>
      <c r="C292" s="88" t="s">
        <v>181</v>
      </c>
      <c r="D292" s="88" t="s">
        <v>735</v>
      </c>
      <c r="E292" s="85" t="str">
        <f t="shared" si="3"/>
        <v>IX</v>
      </c>
      <c r="F292" s="84">
        <v>150700.0</v>
      </c>
    </row>
    <row r="293">
      <c r="A293" s="89" t="s">
        <v>1046</v>
      </c>
      <c r="B293" s="85" t="s">
        <v>74</v>
      </c>
      <c r="C293" s="91" t="s">
        <v>334</v>
      </c>
      <c r="D293" s="82" t="s">
        <v>59</v>
      </c>
      <c r="E293" s="85" t="str">
        <f t="shared" si="3"/>
        <v>IX</v>
      </c>
      <c r="F293" s="6">
        <v>189900.0</v>
      </c>
    </row>
    <row r="294">
      <c r="A294" s="89" t="s">
        <v>1047</v>
      </c>
      <c r="B294" s="85" t="s">
        <v>74</v>
      </c>
      <c r="C294" s="91" t="s">
        <v>334</v>
      </c>
      <c r="D294" s="82" t="s">
        <v>60</v>
      </c>
      <c r="E294" s="85" t="str">
        <f t="shared" si="3"/>
        <v>IX</v>
      </c>
      <c r="F294" s="6">
        <v>189900.0</v>
      </c>
    </row>
    <row r="295">
      <c r="A295" s="89" t="s">
        <v>1048</v>
      </c>
      <c r="B295" s="85" t="s">
        <v>74</v>
      </c>
      <c r="C295" s="91" t="s">
        <v>334</v>
      </c>
      <c r="D295" s="82" t="s">
        <v>61</v>
      </c>
      <c r="E295" s="85" t="str">
        <f t="shared" si="3"/>
        <v>IX</v>
      </c>
      <c r="F295" s="6">
        <v>189900.0</v>
      </c>
    </row>
    <row r="296">
      <c r="A296" s="85" t="s">
        <v>736</v>
      </c>
      <c r="B296" s="85" t="s">
        <v>74</v>
      </c>
      <c r="C296" s="87" t="s">
        <v>181</v>
      </c>
      <c r="D296" s="82" t="s">
        <v>28</v>
      </c>
      <c r="E296" s="85" t="str">
        <f t="shared" si="3"/>
        <v>IX</v>
      </c>
      <c r="F296" s="84">
        <v>150700.0</v>
      </c>
    </row>
    <row r="297">
      <c r="A297" s="85" t="s">
        <v>737</v>
      </c>
      <c r="B297" s="85" t="s">
        <v>74</v>
      </c>
      <c r="C297" s="88" t="s">
        <v>181</v>
      </c>
      <c r="D297" s="88" t="s">
        <v>738</v>
      </c>
      <c r="E297" s="85" t="str">
        <f t="shared" si="3"/>
        <v>IX</v>
      </c>
      <c r="F297" s="84">
        <v>150700.0</v>
      </c>
    </row>
    <row r="298">
      <c r="A298" s="85" t="s">
        <v>739</v>
      </c>
      <c r="B298" s="85" t="s">
        <v>74</v>
      </c>
      <c r="C298" s="87" t="s">
        <v>181</v>
      </c>
      <c r="D298" s="87" t="s">
        <v>740</v>
      </c>
      <c r="E298" s="85" t="str">
        <f t="shared" si="3"/>
        <v>IX</v>
      </c>
      <c r="F298" s="84">
        <v>150700.0</v>
      </c>
    </row>
    <row r="299">
      <c r="A299" s="85" t="s">
        <v>741</v>
      </c>
      <c r="B299" s="85" t="s">
        <v>74</v>
      </c>
      <c r="C299" s="88" t="s">
        <v>181</v>
      </c>
      <c r="D299" s="88" t="s">
        <v>742</v>
      </c>
      <c r="E299" s="85" t="str">
        <f t="shared" si="3"/>
        <v>IX</v>
      </c>
      <c r="F299" s="84">
        <v>150700.0</v>
      </c>
    </row>
    <row r="300">
      <c r="A300" s="82" t="s">
        <v>743</v>
      </c>
      <c r="B300" s="85" t="s">
        <v>74</v>
      </c>
      <c r="C300" s="88" t="s">
        <v>181</v>
      </c>
      <c r="D300" s="90" t="s">
        <v>744</v>
      </c>
      <c r="E300" s="85" t="str">
        <f t="shared" si="3"/>
        <v>IX</v>
      </c>
      <c r="F300" s="84">
        <v>150700.0</v>
      </c>
    </row>
    <row r="301">
      <c r="A301" s="85" t="s">
        <v>745</v>
      </c>
      <c r="B301" s="85" t="s">
        <v>74</v>
      </c>
      <c r="C301" s="87" t="s">
        <v>181</v>
      </c>
      <c r="D301" s="87" t="s">
        <v>746</v>
      </c>
      <c r="E301" s="85" t="str">
        <f t="shared" si="3"/>
        <v>IX</v>
      </c>
      <c r="F301" s="84">
        <v>150700.0</v>
      </c>
    </row>
    <row r="302">
      <c r="A302" s="89" t="s">
        <v>756</v>
      </c>
      <c r="B302" s="85" t="s">
        <v>74</v>
      </c>
      <c r="C302" s="90" t="s">
        <v>181</v>
      </c>
      <c r="D302" s="90" t="s">
        <v>78</v>
      </c>
      <c r="E302" s="85" t="str">
        <f t="shared" si="3"/>
        <v>IX</v>
      </c>
      <c r="F302" s="1">
        <v>44400.0</v>
      </c>
    </row>
    <row r="303">
      <c r="A303" s="85" t="s">
        <v>747</v>
      </c>
      <c r="B303" s="85" t="s">
        <v>74</v>
      </c>
      <c r="C303" s="88" t="s">
        <v>337</v>
      </c>
      <c r="D303" s="88" t="s">
        <v>748</v>
      </c>
      <c r="E303" s="85" t="str">
        <f t="shared" si="3"/>
        <v>GP</v>
      </c>
      <c r="F303" s="84">
        <v>39100.0</v>
      </c>
    </row>
    <row r="304">
      <c r="A304" s="85" t="s">
        <v>749</v>
      </c>
      <c r="B304" s="85" t="s">
        <v>74</v>
      </c>
      <c r="C304" s="87" t="s">
        <v>334</v>
      </c>
      <c r="D304" s="87" t="s">
        <v>750</v>
      </c>
      <c r="E304" s="85" t="str">
        <f t="shared" si="3"/>
        <v>IX</v>
      </c>
      <c r="F304" s="84">
        <v>71700.0</v>
      </c>
    </row>
    <row r="305">
      <c r="A305" s="85" t="s">
        <v>751</v>
      </c>
      <c r="B305" s="85" t="s">
        <v>74</v>
      </c>
      <c r="C305" s="88" t="s">
        <v>334</v>
      </c>
      <c r="D305" s="88" t="s">
        <v>752</v>
      </c>
      <c r="E305" s="85" t="str">
        <f t="shared" si="3"/>
        <v>IX</v>
      </c>
      <c r="F305" s="84">
        <v>71700.0</v>
      </c>
    </row>
    <row r="306">
      <c r="A306" s="97" t="s">
        <v>21</v>
      </c>
      <c r="B306" s="95" t="s">
        <v>74</v>
      </c>
      <c r="C306" s="98" t="s">
        <v>334</v>
      </c>
      <c r="D306" s="99" t="s">
        <v>753</v>
      </c>
      <c r="E306" s="95" t="str">
        <f t="shared" si="3"/>
        <v>IX</v>
      </c>
      <c r="F306" s="84">
        <v>71700.0</v>
      </c>
    </row>
    <row r="307">
      <c r="A307" s="85" t="s">
        <v>754</v>
      </c>
      <c r="B307" s="85" t="s">
        <v>74</v>
      </c>
      <c r="C307" s="87" t="s">
        <v>337</v>
      </c>
      <c r="D307" s="87" t="s">
        <v>755</v>
      </c>
      <c r="E307" s="85" t="str">
        <f t="shared" si="3"/>
        <v>GP</v>
      </c>
      <c r="F307" s="84">
        <v>39100.0</v>
      </c>
    </row>
    <row r="308">
      <c r="A308" s="85" t="s">
        <v>757</v>
      </c>
      <c r="B308" s="85" t="s">
        <v>74</v>
      </c>
      <c r="C308" s="88" t="s">
        <v>337</v>
      </c>
      <c r="D308" s="88" t="s">
        <v>758</v>
      </c>
      <c r="E308" s="85" t="str">
        <f t="shared" si="3"/>
        <v>GP</v>
      </c>
      <c r="F308" s="1">
        <v>38000.0</v>
      </c>
    </row>
    <row r="309">
      <c r="A309" s="83" t="s">
        <v>759</v>
      </c>
      <c r="B309" s="85" t="s">
        <v>74</v>
      </c>
      <c r="C309" s="87" t="s">
        <v>334</v>
      </c>
      <c r="D309" s="87" t="s">
        <v>760</v>
      </c>
      <c r="E309" s="85" t="str">
        <f t="shared" si="3"/>
        <v>IX</v>
      </c>
      <c r="F309" s="84">
        <v>71700.0</v>
      </c>
    </row>
    <row r="310">
      <c r="A310" s="85" t="s">
        <v>761</v>
      </c>
      <c r="B310" s="85" t="s">
        <v>74</v>
      </c>
      <c r="C310" s="88" t="s">
        <v>337</v>
      </c>
      <c r="D310" s="88" t="s">
        <v>762</v>
      </c>
      <c r="E310" s="85" t="str">
        <f t="shared" si="3"/>
        <v>GP</v>
      </c>
      <c r="F310" s="84">
        <v>39100.0</v>
      </c>
    </row>
    <row r="311">
      <c r="A311" s="85" t="s">
        <v>763</v>
      </c>
      <c r="B311" s="85" t="s">
        <v>74</v>
      </c>
      <c r="C311" s="87" t="s">
        <v>337</v>
      </c>
      <c r="D311" s="87" t="s">
        <v>764</v>
      </c>
      <c r="E311" s="85" t="str">
        <f t="shared" si="3"/>
        <v>GP</v>
      </c>
      <c r="F311" s="84">
        <v>39100.0</v>
      </c>
    </row>
    <row r="312">
      <c r="A312" s="85" t="s">
        <v>765</v>
      </c>
      <c r="B312" s="85" t="s">
        <v>74</v>
      </c>
      <c r="C312" s="88" t="s">
        <v>337</v>
      </c>
      <c r="D312" s="88" t="s">
        <v>766</v>
      </c>
      <c r="E312" s="85" t="str">
        <f t="shared" si="3"/>
        <v>GP</v>
      </c>
      <c r="F312" s="84">
        <v>39100.0</v>
      </c>
    </row>
    <row r="313">
      <c r="A313" s="89" t="s">
        <v>767</v>
      </c>
      <c r="B313" s="85" t="s">
        <v>74</v>
      </c>
      <c r="C313" s="88" t="s">
        <v>337</v>
      </c>
      <c r="D313" s="90" t="s">
        <v>768</v>
      </c>
      <c r="E313" s="85" t="str">
        <f t="shared" si="3"/>
        <v>GP</v>
      </c>
      <c r="F313" s="84">
        <v>39100.0</v>
      </c>
    </row>
    <row r="314">
      <c r="A314" s="85" t="s">
        <v>769</v>
      </c>
      <c r="B314" s="85" t="s">
        <v>74</v>
      </c>
      <c r="C314" s="87" t="s">
        <v>334</v>
      </c>
      <c r="D314" s="91" t="s">
        <v>33</v>
      </c>
      <c r="E314" s="85" t="str">
        <f t="shared" si="3"/>
        <v>IX</v>
      </c>
      <c r="F314" s="84">
        <v>71700.0</v>
      </c>
    </row>
    <row r="315">
      <c r="A315" s="85" t="s">
        <v>770</v>
      </c>
      <c r="B315" s="85" t="s">
        <v>74</v>
      </c>
      <c r="C315" s="88" t="s">
        <v>535</v>
      </c>
      <c r="D315" s="88" t="s">
        <v>771</v>
      </c>
      <c r="E315" s="85" t="str">
        <f t="shared" si="3"/>
        <v>IX</v>
      </c>
      <c r="F315" s="84">
        <v>179500.0</v>
      </c>
    </row>
    <row r="316">
      <c r="A316" s="82" t="s">
        <v>772</v>
      </c>
      <c r="B316" s="82" t="s">
        <v>74</v>
      </c>
      <c r="C316" s="82" t="s">
        <v>337</v>
      </c>
      <c r="D316" s="82" t="s">
        <v>773</v>
      </c>
      <c r="E316" s="83" t="str">
        <f t="shared" si="3"/>
        <v>GP</v>
      </c>
      <c r="F316" s="84">
        <v>38000.0</v>
      </c>
    </row>
    <row r="317">
      <c r="A317" s="85" t="s">
        <v>774</v>
      </c>
      <c r="B317" s="85" t="s">
        <v>74</v>
      </c>
      <c r="C317" s="87" t="s">
        <v>334</v>
      </c>
      <c r="D317" s="87" t="s">
        <v>775</v>
      </c>
      <c r="E317" s="85" t="str">
        <f t="shared" si="3"/>
        <v>IX</v>
      </c>
      <c r="F317" s="84">
        <v>71700.0</v>
      </c>
    </row>
    <row r="318">
      <c r="A318" s="85" t="s">
        <v>776</v>
      </c>
      <c r="B318" s="85" t="s">
        <v>74</v>
      </c>
      <c r="C318" s="88" t="s">
        <v>181</v>
      </c>
      <c r="D318" s="88" t="s">
        <v>777</v>
      </c>
      <c r="E318" s="85" t="str">
        <f t="shared" si="3"/>
        <v>IX</v>
      </c>
      <c r="F318" s="84">
        <v>150700.0</v>
      </c>
    </row>
    <row r="319">
      <c r="A319" s="82" t="s">
        <v>778</v>
      </c>
      <c r="B319" s="85" t="s">
        <v>74</v>
      </c>
      <c r="C319" s="88" t="s">
        <v>181</v>
      </c>
      <c r="D319" s="90" t="s">
        <v>779</v>
      </c>
      <c r="E319" s="85" t="str">
        <f t="shared" si="3"/>
        <v>IX</v>
      </c>
      <c r="F319" s="84">
        <v>150700.0</v>
      </c>
    </row>
    <row r="320">
      <c r="A320" s="85" t="s">
        <v>780</v>
      </c>
      <c r="B320" s="85" t="s">
        <v>74</v>
      </c>
      <c r="C320" s="87" t="s">
        <v>181</v>
      </c>
      <c r="D320" s="87" t="s">
        <v>781</v>
      </c>
      <c r="E320" s="85" t="str">
        <f t="shared" si="3"/>
        <v>IX</v>
      </c>
      <c r="F320" s="84">
        <v>150700.0</v>
      </c>
    </row>
    <row r="321">
      <c r="A321" s="85" t="s">
        <v>782</v>
      </c>
      <c r="B321" s="85" t="s">
        <v>74</v>
      </c>
      <c r="C321" s="88" t="s">
        <v>181</v>
      </c>
      <c r="D321" s="88" t="s">
        <v>783</v>
      </c>
      <c r="E321" s="85" t="str">
        <f t="shared" si="3"/>
        <v>IX</v>
      </c>
      <c r="F321" s="84">
        <v>150700.0</v>
      </c>
    </row>
    <row r="322">
      <c r="A322" s="85" t="s">
        <v>784</v>
      </c>
      <c r="B322" s="85" t="s">
        <v>74</v>
      </c>
      <c r="C322" s="87" t="s">
        <v>535</v>
      </c>
      <c r="D322" s="87" t="s">
        <v>785</v>
      </c>
      <c r="E322" s="85" t="str">
        <f t="shared" si="3"/>
        <v>IX</v>
      </c>
      <c r="F322" s="84">
        <v>114500.0</v>
      </c>
    </row>
    <row r="323">
      <c r="A323" s="85" t="s">
        <v>786</v>
      </c>
      <c r="B323" s="85" t="s">
        <v>74</v>
      </c>
      <c r="C323" s="88" t="s">
        <v>535</v>
      </c>
      <c r="D323" s="88" t="s">
        <v>787</v>
      </c>
      <c r="E323" s="85" t="str">
        <f t="shared" si="3"/>
        <v>IX</v>
      </c>
      <c r="F323" s="84">
        <v>114500.0</v>
      </c>
    </row>
    <row r="324">
      <c r="A324" s="89" t="s">
        <v>788</v>
      </c>
      <c r="B324" s="85" t="s">
        <v>74</v>
      </c>
      <c r="C324" s="88" t="s">
        <v>535</v>
      </c>
      <c r="D324" s="90" t="s">
        <v>789</v>
      </c>
      <c r="E324" s="85" t="str">
        <f t="shared" si="3"/>
        <v>IX</v>
      </c>
      <c r="F324" s="84">
        <v>114500.0</v>
      </c>
    </row>
    <row r="325">
      <c r="A325" s="82" t="s">
        <v>790</v>
      </c>
      <c r="B325" s="85" t="s">
        <v>74</v>
      </c>
      <c r="C325" s="91" t="s">
        <v>334</v>
      </c>
      <c r="D325" s="91" t="s">
        <v>791</v>
      </c>
      <c r="E325" s="85" t="str">
        <f t="shared" si="3"/>
        <v>IX</v>
      </c>
      <c r="F325" s="84">
        <v>71700.0</v>
      </c>
    </row>
    <row r="326">
      <c r="A326" s="82" t="s">
        <v>792</v>
      </c>
      <c r="B326" s="85" t="s">
        <v>74</v>
      </c>
      <c r="C326" s="91" t="s">
        <v>334</v>
      </c>
      <c r="D326" s="91" t="s">
        <v>793</v>
      </c>
      <c r="E326" s="85" t="str">
        <f t="shared" si="3"/>
        <v>IX</v>
      </c>
      <c r="F326" s="84">
        <v>71700.0</v>
      </c>
    </row>
    <row r="327">
      <c r="A327" s="82" t="s">
        <v>794</v>
      </c>
      <c r="B327" s="83" t="s">
        <v>74</v>
      </c>
      <c r="C327" s="83" t="s">
        <v>535</v>
      </c>
      <c r="D327" s="82" t="s">
        <v>73</v>
      </c>
      <c r="E327" s="83" t="str">
        <f t="shared" si="3"/>
        <v>IX</v>
      </c>
      <c r="F327" s="92">
        <v>150700.0</v>
      </c>
    </row>
    <row r="328">
      <c r="A328" s="85" t="s">
        <v>795</v>
      </c>
      <c r="B328" s="85" t="s">
        <v>74</v>
      </c>
      <c r="C328" s="87" t="s">
        <v>535</v>
      </c>
      <c r="D328" s="87" t="s">
        <v>796</v>
      </c>
      <c r="E328" s="85" t="str">
        <f t="shared" si="3"/>
        <v>IX</v>
      </c>
      <c r="F328" s="84">
        <v>114500.0</v>
      </c>
    </row>
    <row r="329">
      <c r="A329" s="89" t="s">
        <v>797</v>
      </c>
      <c r="B329" s="89" t="s">
        <v>74</v>
      </c>
      <c r="C329" s="90" t="s">
        <v>535</v>
      </c>
      <c r="D329" s="90" t="s">
        <v>63</v>
      </c>
      <c r="E329" s="85" t="str">
        <f t="shared" si="3"/>
        <v>IX</v>
      </c>
      <c r="F329" s="1">
        <v>114500.0</v>
      </c>
    </row>
    <row r="330">
      <c r="A330" s="85" t="s">
        <v>798</v>
      </c>
      <c r="B330" s="85" t="s">
        <v>74</v>
      </c>
      <c r="C330" s="88" t="s">
        <v>330</v>
      </c>
      <c r="D330" s="88" t="s">
        <v>799</v>
      </c>
      <c r="E330" s="85" t="str">
        <f t="shared" si="3"/>
        <v>IX</v>
      </c>
      <c r="F330" s="1">
        <v>403000.0</v>
      </c>
    </row>
    <row r="331">
      <c r="A331" s="85" t="s">
        <v>800</v>
      </c>
      <c r="B331" s="85" t="s">
        <v>74</v>
      </c>
      <c r="C331" s="87" t="s">
        <v>330</v>
      </c>
      <c r="D331" s="87" t="s">
        <v>801</v>
      </c>
      <c r="E331" s="85" t="str">
        <f t="shared" si="3"/>
        <v>IX</v>
      </c>
      <c r="F331" s="1">
        <v>403000.0</v>
      </c>
    </row>
    <row r="332">
      <c r="A332" s="100" t="s">
        <v>802</v>
      </c>
      <c r="B332" s="85" t="s">
        <v>74</v>
      </c>
      <c r="C332" s="88" t="s">
        <v>330</v>
      </c>
      <c r="D332" s="88" t="s">
        <v>803</v>
      </c>
      <c r="E332" s="85" t="str">
        <f t="shared" si="3"/>
        <v>IX</v>
      </c>
      <c r="F332" s="1">
        <v>372000.0</v>
      </c>
    </row>
    <row r="333">
      <c r="A333" s="85" t="s">
        <v>804</v>
      </c>
      <c r="B333" s="85" t="s">
        <v>74</v>
      </c>
      <c r="C333" s="87" t="s">
        <v>181</v>
      </c>
      <c r="D333" s="87" t="s">
        <v>805</v>
      </c>
      <c r="E333" s="85" t="str">
        <f t="shared" si="3"/>
        <v>IX</v>
      </c>
      <c r="F333" s="1">
        <v>372000.0</v>
      </c>
    </row>
    <row r="334">
      <c r="A334" s="85" t="s">
        <v>806</v>
      </c>
      <c r="B334" s="85" t="s">
        <v>74</v>
      </c>
      <c r="C334" s="88" t="s">
        <v>181</v>
      </c>
      <c r="D334" s="82" t="s">
        <v>807</v>
      </c>
      <c r="E334" s="85" t="str">
        <f t="shared" si="3"/>
        <v>IX</v>
      </c>
      <c r="F334" s="84">
        <v>150700.0</v>
      </c>
    </row>
    <row r="335">
      <c r="A335" s="89" t="s">
        <v>808</v>
      </c>
      <c r="B335" s="89" t="s">
        <v>74</v>
      </c>
      <c r="C335" s="91" t="s">
        <v>181</v>
      </c>
      <c r="D335" s="91" t="s">
        <v>62</v>
      </c>
      <c r="E335" s="85" t="str">
        <f t="shared" si="3"/>
        <v>IX</v>
      </c>
      <c r="F335" s="6">
        <v>150700.0</v>
      </c>
    </row>
    <row r="336">
      <c r="A336" s="82" t="s">
        <v>809</v>
      </c>
      <c r="B336" s="82" t="s">
        <v>74</v>
      </c>
      <c r="C336" s="82" t="s">
        <v>181</v>
      </c>
      <c r="D336" s="82" t="s">
        <v>75</v>
      </c>
      <c r="E336" s="83" t="str">
        <f t="shared" si="3"/>
        <v>IX</v>
      </c>
      <c r="F336" s="92">
        <v>150700.0</v>
      </c>
    </row>
    <row r="337">
      <c r="A337" s="85" t="s">
        <v>810</v>
      </c>
      <c r="B337" s="85" t="s">
        <v>74</v>
      </c>
      <c r="C337" s="87" t="s">
        <v>181</v>
      </c>
      <c r="D337" s="87" t="s">
        <v>811</v>
      </c>
      <c r="E337" s="85" t="str">
        <f t="shared" si="3"/>
        <v>IX</v>
      </c>
      <c r="F337" s="84">
        <v>150700.0</v>
      </c>
    </row>
    <row r="338">
      <c r="A338" s="89" t="s">
        <v>812</v>
      </c>
      <c r="B338" s="85" t="s">
        <v>74</v>
      </c>
      <c r="C338" s="87" t="s">
        <v>181</v>
      </c>
      <c r="D338" s="91" t="s">
        <v>813</v>
      </c>
      <c r="E338" s="85" t="str">
        <f t="shared" si="3"/>
        <v>IX</v>
      </c>
      <c r="F338" s="84">
        <v>150700.0</v>
      </c>
    </row>
    <row r="339">
      <c r="A339" s="88" t="s">
        <v>814</v>
      </c>
      <c r="B339" s="85" t="s">
        <v>74</v>
      </c>
      <c r="C339" s="88" t="s">
        <v>181</v>
      </c>
      <c r="D339" s="88" t="s">
        <v>815</v>
      </c>
      <c r="E339" s="85" t="str">
        <f t="shared" si="3"/>
        <v>IX</v>
      </c>
      <c r="F339" s="84">
        <v>150700.0</v>
      </c>
    </row>
    <row r="340">
      <c r="A340" s="85" t="s">
        <v>816</v>
      </c>
      <c r="B340" s="85" t="s">
        <v>74</v>
      </c>
      <c r="C340" s="87" t="s">
        <v>181</v>
      </c>
      <c r="D340" s="87" t="s">
        <v>817</v>
      </c>
      <c r="E340" s="85" t="str">
        <f t="shared" si="3"/>
        <v>IX</v>
      </c>
      <c r="F340" s="84">
        <v>150700.0</v>
      </c>
    </row>
    <row r="341">
      <c r="A341" s="83" t="s">
        <v>818</v>
      </c>
      <c r="B341" s="85" t="s">
        <v>74</v>
      </c>
      <c r="C341" s="88" t="s">
        <v>181</v>
      </c>
      <c r="D341" s="88" t="s">
        <v>819</v>
      </c>
      <c r="E341" s="85" t="str">
        <f t="shared" si="3"/>
        <v>IX</v>
      </c>
      <c r="F341" s="1">
        <v>150700.0</v>
      </c>
    </row>
    <row r="342">
      <c r="A342" s="85" t="s">
        <v>820</v>
      </c>
      <c r="B342" s="85" t="s">
        <v>74</v>
      </c>
      <c r="C342" s="87" t="s">
        <v>181</v>
      </c>
      <c r="D342" s="87" t="s">
        <v>821</v>
      </c>
      <c r="E342" s="85" t="str">
        <f t="shared" si="3"/>
        <v>IX</v>
      </c>
      <c r="F342" s="84">
        <v>150700.0</v>
      </c>
    </row>
    <row r="343">
      <c r="A343" s="85" t="s">
        <v>822</v>
      </c>
      <c r="B343" s="85" t="s">
        <v>74</v>
      </c>
      <c r="C343" s="88" t="s">
        <v>181</v>
      </c>
      <c r="D343" s="88" t="s">
        <v>823</v>
      </c>
      <c r="E343" s="85" t="str">
        <f t="shared" si="3"/>
        <v>IX</v>
      </c>
      <c r="F343" s="84">
        <v>150700.0</v>
      </c>
    </row>
    <row r="344">
      <c r="A344" s="82" t="s">
        <v>824</v>
      </c>
      <c r="B344" s="85" t="s">
        <v>74</v>
      </c>
      <c r="C344" s="88" t="s">
        <v>181</v>
      </c>
      <c r="D344" s="90" t="s">
        <v>825</v>
      </c>
      <c r="E344" s="85" t="str">
        <f t="shared" si="3"/>
        <v>IX</v>
      </c>
      <c r="F344" s="84">
        <v>150700.0</v>
      </c>
    </row>
    <row r="345">
      <c r="A345" s="85" t="s">
        <v>826</v>
      </c>
      <c r="B345" s="85" t="s">
        <v>74</v>
      </c>
      <c r="C345" s="87" t="s">
        <v>181</v>
      </c>
      <c r="D345" s="87" t="s">
        <v>827</v>
      </c>
      <c r="E345" s="85" t="str">
        <f t="shared" si="3"/>
        <v>IX</v>
      </c>
      <c r="F345" s="84">
        <v>150700.0</v>
      </c>
    </row>
    <row r="346">
      <c r="A346" s="82" t="s">
        <v>52</v>
      </c>
      <c r="B346" s="85" t="s">
        <v>74</v>
      </c>
      <c r="C346" s="90" t="s">
        <v>337</v>
      </c>
      <c r="D346" s="90" t="s">
        <v>53</v>
      </c>
      <c r="E346" s="85" t="str">
        <f t="shared" si="3"/>
        <v>GP</v>
      </c>
      <c r="F346" s="84">
        <v>26800.0</v>
      </c>
    </row>
    <row r="347">
      <c r="A347" s="85" t="s">
        <v>828</v>
      </c>
      <c r="B347" s="85" t="s">
        <v>74</v>
      </c>
      <c r="C347" s="88" t="s">
        <v>337</v>
      </c>
      <c r="D347" s="88" t="s">
        <v>829</v>
      </c>
      <c r="E347" s="85" t="str">
        <f t="shared" si="3"/>
        <v>GP</v>
      </c>
      <c r="F347" s="84">
        <v>26800.0</v>
      </c>
    </row>
    <row r="348">
      <c r="A348" s="85" t="s">
        <v>830</v>
      </c>
      <c r="B348" s="85" t="s">
        <v>74</v>
      </c>
      <c r="C348" s="87" t="s">
        <v>334</v>
      </c>
      <c r="D348" s="87" t="s">
        <v>831</v>
      </c>
      <c r="E348" s="85" t="str">
        <f t="shared" si="3"/>
        <v>IX</v>
      </c>
      <c r="F348" s="84">
        <v>71700.0</v>
      </c>
    </row>
    <row r="349">
      <c r="A349" s="85" t="s">
        <v>832</v>
      </c>
      <c r="B349" s="85" t="s">
        <v>74</v>
      </c>
      <c r="C349" s="88" t="s">
        <v>337</v>
      </c>
      <c r="D349" s="88" t="s">
        <v>833</v>
      </c>
      <c r="E349" s="85" t="str">
        <f t="shared" si="3"/>
        <v>GP</v>
      </c>
      <c r="F349" s="84">
        <v>26800.0</v>
      </c>
    </row>
    <row r="350">
      <c r="A350" s="85" t="s">
        <v>834</v>
      </c>
      <c r="B350" s="85" t="s">
        <v>74</v>
      </c>
      <c r="C350" s="87" t="s">
        <v>337</v>
      </c>
      <c r="D350" s="87" t="s">
        <v>835</v>
      </c>
      <c r="E350" s="85" t="str">
        <f t="shared" si="3"/>
        <v>GP</v>
      </c>
      <c r="F350" s="84">
        <v>26800.0</v>
      </c>
    </row>
    <row r="351">
      <c r="A351" s="85" t="s">
        <v>836</v>
      </c>
      <c r="B351" s="85" t="s">
        <v>74</v>
      </c>
      <c r="C351" s="88" t="s">
        <v>334</v>
      </c>
      <c r="D351" s="88" t="s">
        <v>837</v>
      </c>
      <c r="E351" s="85" t="str">
        <f t="shared" si="3"/>
        <v>IX</v>
      </c>
      <c r="F351" s="84">
        <v>71700.0</v>
      </c>
    </row>
    <row r="352">
      <c r="A352" s="85" t="s">
        <v>838</v>
      </c>
      <c r="B352" s="85" t="s">
        <v>74</v>
      </c>
      <c r="C352" s="87" t="s">
        <v>337</v>
      </c>
      <c r="D352" s="87" t="s">
        <v>839</v>
      </c>
      <c r="E352" s="85" t="str">
        <f t="shared" si="3"/>
        <v>GP</v>
      </c>
      <c r="F352" s="84">
        <v>26800.0</v>
      </c>
    </row>
    <row r="353">
      <c r="A353" s="85" t="s">
        <v>840</v>
      </c>
      <c r="B353" s="85" t="s">
        <v>74</v>
      </c>
      <c r="C353" s="88" t="s">
        <v>334</v>
      </c>
      <c r="D353" s="88" t="s">
        <v>841</v>
      </c>
      <c r="E353" s="85" t="str">
        <f t="shared" si="3"/>
        <v>IX</v>
      </c>
      <c r="F353" s="84">
        <v>71700.0</v>
      </c>
    </row>
    <row r="354">
      <c r="A354" s="85" t="s">
        <v>842</v>
      </c>
      <c r="B354" s="85" t="s">
        <v>74</v>
      </c>
      <c r="C354" s="87" t="s">
        <v>330</v>
      </c>
      <c r="D354" s="87" t="s">
        <v>843</v>
      </c>
      <c r="E354" s="85" t="str">
        <f t="shared" si="3"/>
        <v>IX</v>
      </c>
      <c r="F354" s="1">
        <v>372000.0</v>
      </c>
    </row>
    <row r="355">
      <c r="A355" s="85" t="s">
        <v>844</v>
      </c>
      <c r="B355" s="85" t="s">
        <v>74</v>
      </c>
      <c r="C355" s="88" t="s">
        <v>330</v>
      </c>
      <c r="D355" s="88" t="s">
        <v>845</v>
      </c>
      <c r="E355" s="85" t="str">
        <f t="shared" si="3"/>
        <v>IX</v>
      </c>
      <c r="F355" s="1">
        <v>372000.0</v>
      </c>
    </row>
    <row r="356">
      <c r="A356" s="85" t="s">
        <v>846</v>
      </c>
      <c r="B356" s="85" t="s">
        <v>74</v>
      </c>
      <c r="C356" s="87" t="s">
        <v>330</v>
      </c>
      <c r="D356" s="87" t="s">
        <v>847</v>
      </c>
      <c r="E356" s="85" t="str">
        <f t="shared" si="3"/>
        <v>IX</v>
      </c>
      <c r="F356" s="1">
        <v>372000.0</v>
      </c>
    </row>
    <row r="357">
      <c r="A357" s="85" t="s">
        <v>848</v>
      </c>
      <c r="B357" s="85" t="s">
        <v>74</v>
      </c>
      <c r="C357" s="88" t="s">
        <v>330</v>
      </c>
      <c r="D357" s="88" t="s">
        <v>849</v>
      </c>
      <c r="E357" s="85" t="str">
        <f t="shared" si="3"/>
        <v>IX</v>
      </c>
      <c r="F357" s="1">
        <v>372000.0</v>
      </c>
    </row>
    <row r="358">
      <c r="A358" s="85" t="s">
        <v>850</v>
      </c>
      <c r="B358" s="85" t="s">
        <v>74</v>
      </c>
      <c r="C358" s="87" t="s">
        <v>330</v>
      </c>
      <c r="D358" s="87" t="s">
        <v>851</v>
      </c>
      <c r="E358" s="85" t="str">
        <f t="shared" si="3"/>
        <v>IX</v>
      </c>
      <c r="F358" s="1">
        <v>372000.0</v>
      </c>
    </row>
    <row r="359">
      <c r="A359" s="85" t="s">
        <v>852</v>
      </c>
      <c r="B359" s="85" t="s">
        <v>74</v>
      </c>
      <c r="C359" s="88" t="s">
        <v>330</v>
      </c>
      <c r="D359" s="88" t="s">
        <v>853</v>
      </c>
      <c r="E359" s="85" t="str">
        <f t="shared" si="3"/>
        <v>IX</v>
      </c>
      <c r="F359" s="1">
        <v>504000.0</v>
      </c>
    </row>
    <row r="360">
      <c r="A360" s="85" t="s">
        <v>854</v>
      </c>
      <c r="B360" s="85" t="s">
        <v>74</v>
      </c>
      <c r="C360" s="87" t="s">
        <v>330</v>
      </c>
      <c r="D360" s="87" t="s">
        <v>855</v>
      </c>
      <c r="E360" s="85" t="str">
        <f t="shared" si="3"/>
        <v>IX</v>
      </c>
      <c r="F360" s="1">
        <v>504000.0</v>
      </c>
    </row>
    <row r="361">
      <c r="A361" s="85" t="s">
        <v>856</v>
      </c>
      <c r="B361" s="85" t="s">
        <v>74</v>
      </c>
      <c r="C361" s="88" t="s">
        <v>181</v>
      </c>
      <c r="D361" s="88" t="s">
        <v>857</v>
      </c>
      <c r="E361" s="85" t="str">
        <f t="shared" si="3"/>
        <v>IX</v>
      </c>
      <c r="F361" s="84">
        <v>623500.0</v>
      </c>
    </row>
    <row r="362">
      <c r="A362" s="83" t="s">
        <v>858</v>
      </c>
      <c r="B362" s="85" t="s">
        <v>74</v>
      </c>
      <c r="C362" s="87" t="s">
        <v>181</v>
      </c>
      <c r="D362" s="82" t="s">
        <v>26</v>
      </c>
      <c r="E362" s="85" t="str">
        <f t="shared" si="3"/>
        <v>IX</v>
      </c>
      <c r="F362" s="84">
        <v>150700.0</v>
      </c>
    </row>
    <row r="363">
      <c r="A363" s="83" t="s">
        <v>859</v>
      </c>
      <c r="B363" s="85" t="s">
        <v>74</v>
      </c>
      <c r="C363" s="88" t="s">
        <v>181</v>
      </c>
      <c r="D363" s="88" t="s">
        <v>860</v>
      </c>
      <c r="E363" s="85" t="str">
        <f t="shared" si="3"/>
        <v>IX</v>
      </c>
      <c r="F363" s="1">
        <v>150700.0</v>
      </c>
    </row>
    <row r="364">
      <c r="A364" s="83" t="s">
        <v>861</v>
      </c>
      <c r="B364" s="85" t="s">
        <v>74</v>
      </c>
      <c r="C364" s="87" t="s">
        <v>181</v>
      </c>
      <c r="D364" s="82" t="s">
        <v>862</v>
      </c>
      <c r="E364" s="85" t="str">
        <f t="shared" si="3"/>
        <v>IX</v>
      </c>
      <c r="F364" s="84">
        <v>246200.0</v>
      </c>
    </row>
    <row r="365">
      <c r="A365" s="83" t="s">
        <v>863</v>
      </c>
      <c r="B365" s="85" t="s">
        <v>74</v>
      </c>
      <c r="C365" s="88" t="s">
        <v>334</v>
      </c>
      <c r="D365" s="82" t="s">
        <v>31</v>
      </c>
      <c r="E365" s="85" t="str">
        <f t="shared" si="3"/>
        <v>IX</v>
      </c>
      <c r="F365" s="1">
        <v>71700.0</v>
      </c>
    </row>
    <row r="366">
      <c r="A366" s="85" t="s">
        <v>864</v>
      </c>
      <c r="B366" s="85" t="s">
        <v>865</v>
      </c>
      <c r="C366" s="87" t="s">
        <v>865</v>
      </c>
      <c r="D366" s="87" t="s">
        <v>866</v>
      </c>
      <c r="E366" s="85" t="str">
        <f t="shared" si="3"/>
        <v>NONE</v>
      </c>
    </row>
    <row r="367">
      <c r="A367" s="85" t="s">
        <v>867</v>
      </c>
      <c r="B367" s="85" t="s">
        <v>868</v>
      </c>
      <c r="C367" s="88" t="s">
        <v>865</v>
      </c>
      <c r="D367" s="88" t="s">
        <v>869</v>
      </c>
      <c r="E367" s="85" t="str">
        <f t="shared" si="3"/>
        <v>NONE</v>
      </c>
    </row>
    <row r="368">
      <c r="A368" s="85" t="s">
        <v>870</v>
      </c>
      <c r="B368" s="85" t="s">
        <v>868</v>
      </c>
      <c r="C368" s="87" t="s">
        <v>865</v>
      </c>
      <c r="D368" s="87" t="s">
        <v>871</v>
      </c>
      <c r="E368" s="85" t="str">
        <f t="shared" si="3"/>
        <v>NONE</v>
      </c>
    </row>
    <row r="369">
      <c r="A369" s="85" t="s">
        <v>872</v>
      </c>
      <c r="B369" s="85" t="s">
        <v>868</v>
      </c>
      <c r="C369" s="88" t="s">
        <v>865</v>
      </c>
      <c r="D369" s="88" t="s">
        <v>873</v>
      </c>
      <c r="E369" s="85" t="str">
        <f t="shared" si="3"/>
        <v>NONE</v>
      </c>
    </row>
    <row r="370">
      <c r="A370" s="85" t="s">
        <v>874</v>
      </c>
      <c r="B370" s="85" t="s">
        <v>868</v>
      </c>
      <c r="C370" s="87" t="s">
        <v>865</v>
      </c>
      <c r="D370" s="87" t="s">
        <v>875</v>
      </c>
      <c r="E370" s="85" t="str">
        <f t="shared" si="3"/>
        <v>NONE</v>
      </c>
    </row>
    <row r="371">
      <c r="A371" s="85" t="s">
        <v>876</v>
      </c>
      <c r="B371" s="85" t="s">
        <v>868</v>
      </c>
      <c r="C371" s="88" t="s">
        <v>865</v>
      </c>
      <c r="D371" s="88" t="s">
        <v>877</v>
      </c>
      <c r="E371" s="85" t="str">
        <f t="shared" si="3"/>
        <v>NONE</v>
      </c>
    </row>
    <row r="372">
      <c r="A372" s="85" t="s">
        <v>878</v>
      </c>
      <c r="B372" s="85" t="s">
        <v>868</v>
      </c>
      <c r="C372" s="87" t="s">
        <v>865</v>
      </c>
      <c r="D372" s="87" t="s">
        <v>879</v>
      </c>
      <c r="E372" s="85" t="str">
        <f t="shared" si="3"/>
        <v>NONE</v>
      </c>
    </row>
    <row r="373">
      <c r="A373" s="85" t="s">
        <v>880</v>
      </c>
      <c r="B373" s="85" t="s">
        <v>868</v>
      </c>
      <c r="C373" s="88" t="s">
        <v>865</v>
      </c>
      <c r="D373" s="88" t="s">
        <v>881</v>
      </c>
      <c r="E373" s="85" t="str">
        <f t="shared" si="3"/>
        <v>NONE</v>
      </c>
    </row>
    <row r="374">
      <c r="A374" s="85" t="s">
        <v>882</v>
      </c>
      <c r="B374" s="85" t="s">
        <v>868</v>
      </c>
      <c r="C374" s="87" t="s">
        <v>865</v>
      </c>
      <c r="D374" s="87" t="s">
        <v>883</v>
      </c>
      <c r="E374" s="85" t="str">
        <f t="shared" si="3"/>
        <v>NONE</v>
      </c>
    </row>
    <row r="375">
      <c r="A375" s="85" t="s">
        <v>884</v>
      </c>
      <c r="B375" s="85" t="s">
        <v>868</v>
      </c>
      <c r="C375" s="88" t="s">
        <v>865</v>
      </c>
      <c r="D375" s="88" t="s">
        <v>885</v>
      </c>
      <c r="E375" s="85" t="str">
        <f t="shared" si="3"/>
        <v>NONE</v>
      </c>
    </row>
    <row r="376">
      <c r="A376" s="85" t="s">
        <v>886</v>
      </c>
      <c r="B376" s="85" t="s">
        <v>868</v>
      </c>
      <c r="C376" s="87" t="s">
        <v>865</v>
      </c>
      <c r="D376" s="87" t="s">
        <v>887</v>
      </c>
      <c r="E376" s="85" t="str">
        <f t="shared" si="3"/>
        <v>NONE</v>
      </c>
    </row>
    <row r="377">
      <c r="A377" s="85" t="s">
        <v>888</v>
      </c>
      <c r="B377" s="85" t="s">
        <v>868</v>
      </c>
      <c r="C377" s="88" t="s">
        <v>865</v>
      </c>
      <c r="D377" s="88" t="s">
        <v>889</v>
      </c>
      <c r="E377" s="85" t="str">
        <f t="shared" si="3"/>
        <v>NONE</v>
      </c>
    </row>
    <row r="378">
      <c r="A378" s="85" t="s">
        <v>890</v>
      </c>
      <c r="B378" s="85" t="s">
        <v>868</v>
      </c>
      <c r="C378" s="87" t="s">
        <v>865</v>
      </c>
      <c r="D378" s="87" t="s">
        <v>891</v>
      </c>
      <c r="E378" s="85" t="str">
        <f t="shared" si="3"/>
        <v>NONE</v>
      </c>
    </row>
    <row r="379">
      <c r="A379" s="85" t="s">
        <v>892</v>
      </c>
      <c r="B379" s="85" t="s">
        <v>868</v>
      </c>
      <c r="C379" s="88" t="s">
        <v>865</v>
      </c>
      <c r="D379" s="88" t="s">
        <v>893</v>
      </c>
      <c r="E379" s="85" t="str">
        <f t="shared" si="3"/>
        <v>NONE</v>
      </c>
    </row>
    <row r="380">
      <c r="A380" s="85" t="s">
        <v>894</v>
      </c>
      <c r="B380" s="85" t="s">
        <v>868</v>
      </c>
      <c r="C380" s="87" t="s">
        <v>865</v>
      </c>
      <c r="D380" s="87" t="s">
        <v>895</v>
      </c>
      <c r="E380" s="85" t="str">
        <f t="shared" si="3"/>
        <v>NONE</v>
      </c>
    </row>
    <row r="381">
      <c r="A381" s="85" t="s">
        <v>896</v>
      </c>
      <c r="B381" s="85" t="s">
        <v>868</v>
      </c>
      <c r="C381" s="88" t="s">
        <v>865</v>
      </c>
      <c r="D381" s="88" t="s">
        <v>897</v>
      </c>
      <c r="E381" s="85" t="str">
        <f t="shared" si="3"/>
        <v>NONE</v>
      </c>
    </row>
    <row r="382">
      <c r="A382" s="85" t="s">
        <v>898</v>
      </c>
      <c r="B382" s="85" t="s">
        <v>868</v>
      </c>
      <c r="C382" s="87" t="s">
        <v>865</v>
      </c>
      <c r="D382" s="87" t="s">
        <v>899</v>
      </c>
      <c r="E382" s="85" t="str">
        <f t="shared" si="3"/>
        <v>NONE</v>
      </c>
    </row>
    <row r="383">
      <c r="A383" s="85" t="s">
        <v>900</v>
      </c>
      <c r="B383" s="85" t="s">
        <v>868</v>
      </c>
      <c r="C383" s="88" t="s">
        <v>865</v>
      </c>
      <c r="D383" s="88" t="s">
        <v>901</v>
      </c>
      <c r="E383" s="85" t="str">
        <f t="shared" si="3"/>
        <v>NONE</v>
      </c>
    </row>
    <row r="384">
      <c r="A384" s="1" t="s">
        <v>1049</v>
      </c>
      <c r="B384" s="1" t="s">
        <v>1050</v>
      </c>
      <c r="C384" s="88" t="s">
        <v>865</v>
      </c>
      <c r="D384" s="1" t="s">
        <v>1051</v>
      </c>
      <c r="E384" s="85" t="str">
        <f t="shared" si="3"/>
        <v>NONE</v>
      </c>
    </row>
    <row r="385">
      <c r="A385" s="1" t="s">
        <v>1052</v>
      </c>
      <c r="B385" s="1" t="s">
        <v>1050</v>
      </c>
      <c r="C385" s="88" t="s">
        <v>865</v>
      </c>
      <c r="D385" s="1" t="s">
        <v>1053</v>
      </c>
      <c r="E385" s="85" t="str">
        <f t="shared" si="3"/>
        <v>NONE</v>
      </c>
    </row>
    <row r="386">
      <c r="A386" s="1" t="s">
        <v>1054</v>
      </c>
      <c r="B386" s="1" t="s">
        <v>1050</v>
      </c>
      <c r="C386" s="88" t="s">
        <v>865</v>
      </c>
      <c r="D386" s="1" t="s">
        <v>1055</v>
      </c>
      <c r="E386" s="85" t="str">
        <f t="shared" si="3"/>
        <v>NONE</v>
      </c>
    </row>
    <row r="387">
      <c r="A387" s="1" t="s">
        <v>1056</v>
      </c>
      <c r="B387" s="1" t="s">
        <v>1050</v>
      </c>
      <c r="C387" s="88" t="s">
        <v>865</v>
      </c>
      <c r="D387" s="1" t="s">
        <v>1057</v>
      </c>
      <c r="E387" s="85" t="str">
        <f t="shared" si="3"/>
        <v>NONE</v>
      </c>
    </row>
    <row r="388">
      <c r="A388" s="1" t="s">
        <v>1058</v>
      </c>
      <c r="B388" s="1" t="s">
        <v>1050</v>
      </c>
      <c r="C388" s="88" t="s">
        <v>865</v>
      </c>
      <c r="D388" s="1" t="s">
        <v>1059</v>
      </c>
      <c r="E388" s="85" t="str">
        <f t="shared" si="3"/>
        <v>NONE</v>
      </c>
    </row>
    <row r="389">
      <c r="A389" s="1" t="s">
        <v>1060</v>
      </c>
      <c r="B389" s="1" t="s">
        <v>1050</v>
      </c>
      <c r="C389" s="88" t="s">
        <v>865</v>
      </c>
      <c r="D389" s="1" t="s">
        <v>1061</v>
      </c>
      <c r="E389" s="85" t="str">
        <f t="shared" si="3"/>
        <v>NONE</v>
      </c>
    </row>
    <row r="390">
      <c r="A390" s="1" t="s">
        <v>1062</v>
      </c>
      <c r="B390" s="1" t="s">
        <v>1050</v>
      </c>
      <c r="C390" s="88" t="s">
        <v>865</v>
      </c>
      <c r="D390" s="1" t="s">
        <v>1063</v>
      </c>
      <c r="E390" s="85" t="str">
        <f t="shared" si="3"/>
        <v>NONE</v>
      </c>
    </row>
    <row r="391">
      <c r="A391" s="1" t="s">
        <v>1064</v>
      </c>
      <c r="B391" s="1" t="s">
        <v>1050</v>
      </c>
      <c r="C391" s="88" t="s">
        <v>865</v>
      </c>
      <c r="D391" s="1" t="s">
        <v>1065</v>
      </c>
      <c r="E391" s="85" t="str">
        <f t="shared" si="3"/>
        <v>NONE</v>
      </c>
    </row>
    <row r="392">
      <c r="A392" s="1" t="s">
        <v>1066</v>
      </c>
      <c r="B392" s="1" t="s">
        <v>1050</v>
      </c>
      <c r="C392" s="88" t="s">
        <v>865</v>
      </c>
      <c r="D392" s="1" t="s">
        <v>1067</v>
      </c>
      <c r="E392" s="85" t="str">
        <f t="shared" si="3"/>
        <v>NONE</v>
      </c>
    </row>
    <row r="393">
      <c r="A393" s="1" t="s">
        <v>1068</v>
      </c>
      <c r="B393" s="1" t="s">
        <v>1050</v>
      </c>
      <c r="C393" s="88" t="s">
        <v>865</v>
      </c>
      <c r="D393" s="1" t="s">
        <v>1069</v>
      </c>
      <c r="E393" s="85" t="str">
        <f t="shared" si="3"/>
        <v>NONE</v>
      </c>
    </row>
    <row r="394">
      <c r="A394" s="1" t="s">
        <v>1070</v>
      </c>
      <c r="B394" s="1" t="s">
        <v>1050</v>
      </c>
      <c r="C394" s="88" t="s">
        <v>865</v>
      </c>
      <c r="D394" s="1" t="s">
        <v>1071</v>
      </c>
      <c r="E394" s="85" t="str">
        <f t="shared" si="3"/>
        <v>NONE</v>
      </c>
    </row>
    <row r="395">
      <c r="A395" s="1" t="s">
        <v>1072</v>
      </c>
      <c r="B395" s="1" t="s">
        <v>1050</v>
      </c>
      <c r="C395" s="88" t="s">
        <v>865</v>
      </c>
      <c r="D395" s="1" t="s">
        <v>1073</v>
      </c>
      <c r="E395" s="85" t="str">
        <f t="shared" si="3"/>
        <v>NONE</v>
      </c>
    </row>
    <row r="396">
      <c r="A396" s="1" t="s">
        <v>1074</v>
      </c>
      <c r="B396" s="1" t="s">
        <v>1050</v>
      </c>
      <c r="C396" s="88" t="s">
        <v>865</v>
      </c>
      <c r="D396" s="1" t="s">
        <v>1075</v>
      </c>
      <c r="E396" s="85" t="str">
        <f t="shared" si="3"/>
        <v>NONE</v>
      </c>
    </row>
    <row r="397">
      <c r="A397" s="1" t="s">
        <v>1076</v>
      </c>
      <c r="B397" s="1" t="s">
        <v>1050</v>
      </c>
      <c r="C397" s="88" t="s">
        <v>865</v>
      </c>
      <c r="D397" s="1" t="s">
        <v>1077</v>
      </c>
      <c r="E397" s="85" t="str">
        <f t="shared" si="3"/>
        <v>NONE</v>
      </c>
    </row>
    <row r="398">
      <c r="A398" s="1" t="s">
        <v>1078</v>
      </c>
      <c r="B398" s="1" t="s">
        <v>1050</v>
      </c>
      <c r="C398" s="88" t="s">
        <v>865</v>
      </c>
      <c r="D398" s="1" t="s">
        <v>1079</v>
      </c>
      <c r="E398" s="85" t="str">
        <f t="shared" si="3"/>
        <v>NONE</v>
      </c>
    </row>
    <row r="399">
      <c r="A399" s="1" t="s">
        <v>1080</v>
      </c>
      <c r="B399" s="1" t="s">
        <v>1050</v>
      </c>
      <c r="C399" s="88" t="s">
        <v>865</v>
      </c>
      <c r="D399" s="1" t="s">
        <v>1081</v>
      </c>
      <c r="E399" s="85" t="str">
        <f t="shared" si="3"/>
        <v>NONE</v>
      </c>
    </row>
    <row r="400">
      <c r="A400" s="1" t="s">
        <v>1082</v>
      </c>
      <c r="B400" s="1" t="s">
        <v>1050</v>
      </c>
      <c r="C400" s="88" t="s">
        <v>865</v>
      </c>
      <c r="D400" s="1" t="s">
        <v>1083</v>
      </c>
      <c r="E400" s="85" t="str">
        <f t="shared" si="3"/>
        <v>NONE</v>
      </c>
    </row>
    <row r="401">
      <c r="A401" s="1" t="s">
        <v>1084</v>
      </c>
      <c r="B401" s="1" t="s">
        <v>1050</v>
      </c>
      <c r="C401" s="88" t="s">
        <v>865</v>
      </c>
      <c r="D401" s="1" t="s">
        <v>1085</v>
      </c>
      <c r="E401" s="85" t="str">
        <f t="shared" si="3"/>
        <v>NONE</v>
      </c>
    </row>
    <row r="402">
      <c r="A402" s="1" t="s">
        <v>1086</v>
      </c>
      <c r="B402" s="1" t="s">
        <v>1050</v>
      </c>
      <c r="C402" s="88" t="s">
        <v>865</v>
      </c>
      <c r="D402" s="1" t="s">
        <v>1087</v>
      </c>
      <c r="E402" s="85" t="str">
        <f t="shared" si="3"/>
        <v>NONE</v>
      </c>
    </row>
    <row r="403">
      <c r="A403" s="1" t="s">
        <v>1088</v>
      </c>
      <c r="B403" s="1" t="s">
        <v>1050</v>
      </c>
      <c r="C403" s="88" t="s">
        <v>865</v>
      </c>
      <c r="D403" s="1" t="s">
        <v>1089</v>
      </c>
      <c r="E403" s="85" t="str">
        <f t="shared" si="3"/>
        <v>NONE</v>
      </c>
    </row>
    <row r="404">
      <c r="A404" s="1" t="s">
        <v>1090</v>
      </c>
      <c r="B404" s="1" t="s">
        <v>1050</v>
      </c>
      <c r="C404" s="88" t="s">
        <v>865</v>
      </c>
      <c r="D404" s="1" t="s">
        <v>1091</v>
      </c>
      <c r="E404" s="85" t="str">
        <f t="shared" si="3"/>
        <v>NONE</v>
      </c>
    </row>
    <row r="405">
      <c r="A405" s="1" t="s">
        <v>1092</v>
      </c>
      <c r="B405" s="1" t="s">
        <v>1050</v>
      </c>
      <c r="C405" s="88" t="s">
        <v>865</v>
      </c>
      <c r="D405" s="1" t="s">
        <v>1093</v>
      </c>
      <c r="E405" s="85" t="str">
        <f t="shared" si="3"/>
        <v>NONE</v>
      </c>
    </row>
    <row r="406">
      <c r="A406" s="1" t="s">
        <v>1094</v>
      </c>
      <c r="B406" s="1" t="s">
        <v>1050</v>
      </c>
      <c r="C406" s="88" t="s">
        <v>865</v>
      </c>
      <c r="D406" s="1" t="s">
        <v>1095</v>
      </c>
      <c r="E406" s="85" t="str">
        <f t="shared" si="3"/>
        <v>NONE</v>
      </c>
    </row>
    <row r="407">
      <c r="A407" s="1" t="s">
        <v>1096</v>
      </c>
      <c r="B407" s="1" t="s">
        <v>1050</v>
      </c>
      <c r="C407" s="88" t="s">
        <v>865</v>
      </c>
      <c r="D407" s="1" t="s">
        <v>1097</v>
      </c>
      <c r="E407" s="85" t="str">
        <f t="shared" si="3"/>
        <v>NONE</v>
      </c>
    </row>
    <row r="408">
      <c r="A408" s="1" t="s">
        <v>1098</v>
      </c>
      <c r="B408" s="1" t="s">
        <v>1050</v>
      </c>
      <c r="C408" s="88" t="s">
        <v>865</v>
      </c>
      <c r="D408" s="1" t="s">
        <v>1099</v>
      </c>
      <c r="E408" s="85" t="str">
        <f t="shared" si="3"/>
        <v>NONE</v>
      </c>
    </row>
    <row r="409">
      <c r="A409" s="1" t="s">
        <v>1100</v>
      </c>
      <c r="B409" s="1" t="s">
        <v>1050</v>
      </c>
      <c r="C409" s="88" t="s">
        <v>865</v>
      </c>
      <c r="D409" s="1" t="s">
        <v>1101</v>
      </c>
      <c r="E409" s="85" t="str">
        <f t="shared" si="3"/>
        <v>NONE</v>
      </c>
    </row>
    <row r="410">
      <c r="A410" s="1" t="s">
        <v>1102</v>
      </c>
      <c r="B410" s="1" t="s">
        <v>1050</v>
      </c>
      <c r="C410" s="88" t="s">
        <v>865</v>
      </c>
      <c r="D410" s="1" t="s">
        <v>1103</v>
      </c>
      <c r="E410" s="85" t="str">
        <f t="shared" si="3"/>
        <v>NONE</v>
      </c>
    </row>
    <row r="411">
      <c r="A411" s="1" t="s">
        <v>1104</v>
      </c>
      <c r="B411" s="1" t="s">
        <v>1050</v>
      </c>
      <c r="C411" s="88" t="s">
        <v>865</v>
      </c>
      <c r="D411" s="1" t="s">
        <v>1105</v>
      </c>
      <c r="E411" s="85" t="str">
        <f t="shared" si="3"/>
        <v>NONE</v>
      </c>
    </row>
    <row r="412">
      <c r="A412" s="1" t="s">
        <v>1106</v>
      </c>
      <c r="B412" s="1" t="s">
        <v>1050</v>
      </c>
      <c r="C412" s="88" t="s">
        <v>865</v>
      </c>
      <c r="D412" s="1" t="s">
        <v>1107</v>
      </c>
      <c r="E412" s="85" t="str">
        <f t="shared" si="3"/>
        <v>NONE</v>
      </c>
    </row>
    <row r="413">
      <c r="A413" s="1" t="s">
        <v>1108</v>
      </c>
      <c r="B413" s="1" t="s">
        <v>1050</v>
      </c>
      <c r="C413" s="88" t="s">
        <v>865</v>
      </c>
      <c r="D413" s="1" t="s">
        <v>1109</v>
      </c>
      <c r="E413" s="85" t="str">
        <f t="shared" si="3"/>
        <v>NONE</v>
      </c>
    </row>
    <row r="414">
      <c r="A414" s="1" t="s">
        <v>1110</v>
      </c>
      <c r="B414" s="1" t="s">
        <v>1050</v>
      </c>
      <c r="C414" s="88" t="s">
        <v>865</v>
      </c>
      <c r="D414" s="1" t="s">
        <v>1111</v>
      </c>
      <c r="E414" s="85" t="str">
        <f t="shared" si="3"/>
        <v>NONE</v>
      </c>
    </row>
    <row r="415">
      <c r="A415" s="1" t="s">
        <v>1112</v>
      </c>
      <c r="B415" s="1" t="s">
        <v>1050</v>
      </c>
      <c r="C415" s="88" t="s">
        <v>865</v>
      </c>
      <c r="D415" s="1" t="s">
        <v>1113</v>
      </c>
      <c r="E415" s="85" t="str">
        <f t="shared" si="3"/>
        <v>NONE</v>
      </c>
    </row>
    <row r="416">
      <c r="A416" s="1" t="s">
        <v>1114</v>
      </c>
      <c r="B416" s="1" t="s">
        <v>1050</v>
      </c>
      <c r="C416" s="88" t="s">
        <v>865</v>
      </c>
      <c r="D416" s="1" t="s">
        <v>1115</v>
      </c>
      <c r="E416" s="85" t="str">
        <f t="shared" si="3"/>
        <v>NONE</v>
      </c>
    </row>
    <row r="417">
      <c r="A417" s="1" t="s">
        <v>1116</v>
      </c>
      <c r="B417" s="1" t="s">
        <v>1050</v>
      </c>
      <c r="C417" s="88" t="s">
        <v>865</v>
      </c>
      <c r="D417" s="1" t="s">
        <v>1117</v>
      </c>
      <c r="E417" s="85" t="str">
        <f t="shared" si="3"/>
        <v>NONE</v>
      </c>
    </row>
    <row r="418">
      <c r="A418" s="1" t="s">
        <v>1118</v>
      </c>
      <c r="B418" s="1" t="s">
        <v>1050</v>
      </c>
      <c r="C418" s="88" t="s">
        <v>865</v>
      </c>
      <c r="D418" s="1" t="s">
        <v>1119</v>
      </c>
      <c r="E418" s="85" t="str">
        <f t="shared" si="3"/>
        <v>NONE</v>
      </c>
    </row>
    <row r="419">
      <c r="A419" s="1" t="s">
        <v>1120</v>
      </c>
      <c r="B419" s="1" t="s">
        <v>1050</v>
      </c>
      <c r="C419" s="88" t="s">
        <v>865</v>
      </c>
      <c r="D419" s="1" t="s">
        <v>1121</v>
      </c>
      <c r="E419" s="85" t="str">
        <f t="shared" si="3"/>
        <v>NONE</v>
      </c>
    </row>
    <row r="420">
      <c r="A420" s="1" t="s">
        <v>1122</v>
      </c>
      <c r="B420" s="1" t="s">
        <v>1050</v>
      </c>
      <c r="C420" s="88" t="s">
        <v>865</v>
      </c>
      <c r="D420" s="1" t="s">
        <v>1123</v>
      </c>
      <c r="E420" s="85" t="str">
        <f t="shared" si="3"/>
        <v>NONE</v>
      </c>
    </row>
    <row r="421">
      <c r="A421" s="1" t="s">
        <v>1124</v>
      </c>
      <c r="B421" s="1" t="s">
        <v>1050</v>
      </c>
      <c r="C421" s="88" t="s">
        <v>865</v>
      </c>
      <c r="D421" s="1" t="s">
        <v>1125</v>
      </c>
      <c r="E421" s="85" t="str">
        <f t="shared" si="3"/>
        <v>NONE</v>
      </c>
    </row>
    <row r="422">
      <c r="A422" s="1" t="s">
        <v>1126</v>
      </c>
      <c r="B422" s="1" t="s">
        <v>1050</v>
      </c>
      <c r="C422" s="88" t="s">
        <v>865</v>
      </c>
      <c r="D422" s="1" t="s">
        <v>1127</v>
      </c>
      <c r="E422" s="85" t="str">
        <f t="shared" si="3"/>
        <v>NONE</v>
      </c>
    </row>
    <row r="423">
      <c r="A423" s="1" t="s">
        <v>1128</v>
      </c>
      <c r="B423" s="1" t="s">
        <v>1050</v>
      </c>
      <c r="C423" s="88" t="s">
        <v>865</v>
      </c>
      <c r="D423" s="1" t="s">
        <v>1129</v>
      </c>
      <c r="E423" s="85" t="str">
        <f t="shared" si="3"/>
        <v>NONE</v>
      </c>
    </row>
    <row r="424">
      <c r="A424" s="1" t="s">
        <v>1130</v>
      </c>
      <c r="B424" s="1" t="s">
        <v>1050</v>
      </c>
      <c r="C424" s="88" t="s">
        <v>865</v>
      </c>
      <c r="D424" s="1" t="s">
        <v>1131</v>
      </c>
      <c r="E424" s="85" t="str">
        <f t="shared" si="3"/>
        <v>NONE</v>
      </c>
    </row>
    <row r="425">
      <c r="A425" s="1" t="s">
        <v>1132</v>
      </c>
      <c r="B425" s="1" t="s">
        <v>1050</v>
      </c>
      <c r="C425" s="88" t="s">
        <v>865</v>
      </c>
      <c r="D425" s="1" t="s">
        <v>1133</v>
      </c>
      <c r="E425" s="85" t="str">
        <f t="shared" si="3"/>
        <v>NONE</v>
      </c>
    </row>
    <row r="426">
      <c r="A426" s="1" t="s">
        <v>1134</v>
      </c>
      <c r="B426" s="1" t="s">
        <v>1050</v>
      </c>
      <c r="C426" s="88" t="s">
        <v>865</v>
      </c>
      <c r="D426" s="1" t="s">
        <v>1135</v>
      </c>
      <c r="E426" s="85" t="str">
        <f t="shared" si="3"/>
        <v>NONE</v>
      </c>
    </row>
    <row r="427">
      <c r="A427" s="1" t="s">
        <v>1136</v>
      </c>
      <c r="B427" s="1" t="s">
        <v>1050</v>
      </c>
      <c r="C427" s="88" t="s">
        <v>865</v>
      </c>
      <c r="D427" s="1" t="s">
        <v>1137</v>
      </c>
      <c r="E427" s="85" t="str">
        <f t="shared" si="3"/>
        <v>NONE</v>
      </c>
    </row>
    <row r="428">
      <c r="A428" s="1" t="s">
        <v>1138</v>
      </c>
      <c r="B428" s="1" t="s">
        <v>1050</v>
      </c>
      <c r="C428" s="88" t="s">
        <v>865</v>
      </c>
      <c r="D428" s="1" t="s">
        <v>1139</v>
      </c>
      <c r="E428" s="85" t="str">
        <f t="shared" si="3"/>
        <v>NONE</v>
      </c>
    </row>
    <row r="429">
      <c r="A429" s="1" t="s">
        <v>1140</v>
      </c>
      <c r="B429" s="1" t="s">
        <v>1050</v>
      </c>
      <c r="C429" s="88" t="s">
        <v>865</v>
      </c>
      <c r="D429" s="1" t="s">
        <v>1141</v>
      </c>
      <c r="E429" s="85" t="str">
        <f t="shared" si="3"/>
        <v>NONE</v>
      </c>
    </row>
    <row r="430">
      <c r="A430" s="101" t="s">
        <v>902</v>
      </c>
      <c r="B430" s="1" t="s">
        <v>903</v>
      </c>
      <c r="C430" s="1" t="s">
        <v>865</v>
      </c>
      <c r="D430" s="1" t="s">
        <v>904</v>
      </c>
      <c r="E430" s="89" t="s">
        <v>865</v>
      </c>
      <c r="F430" s="1">
        <v>141000.0</v>
      </c>
    </row>
    <row r="431">
      <c r="A431" s="101" t="s">
        <v>905</v>
      </c>
      <c r="B431" s="1" t="s">
        <v>903</v>
      </c>
      <c r="C431" s="1" t="s">
        <v>865</v>
      </c>
      <c r="D431" s="1" t="s">
        <v>906</v>
      </c>
      <c r="E431" s="89" t="s">
        <v>865</v>
      </c>
      <c r="F431" s="1">
        <v>117000.0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8.38"/>
    <col customWidth="1" min="3" max="3" width="7.63"/>
    <col customWidth="1" min="4" max="4" width="15.75"/>
    <col customWidth="1" min="5" max="5" width="14.38"/>
  </cols>
  <sheetData>
    <row r="1">
      <c r="A1" s="80" t="s">
        <v>182</v>
      </c>
      <c r="B1" s="80" t="s">
        <v>174</v>
      </c>
      <c r="C1" s="80" t="s">
        <v>175</v>
      </c>
      <c r="D1" s="80" t="s">
        <v>176</v>
      </c>
      <c r="E1" s="81" t="s">
        <v>183</v>
      </c>
      <c r="F1" s="1" t="s">
        <v>184</v>
      </c>
    </row>
    <row r="2">
      <c r="A2" s="82" t="s">
        <v>185</v>
      </c>
      <c r="B2" s="82" t="s">
        <v>72</v>
      </c>
      <c r="C2" s="82" t="s">
        <v>186</v>
      </c>
      <c r="D2" s="82" t="s">
        <v>187</v>
      </c>
      <c r="E2" s="83" t="str">
        <f t="shared" ref="E2:E66" si="1">if(C2="YL","Ni",if(C2="GP","GP",if(C2="RACING","IX",if(C2="IL","IX",if(C2="IX","IX",if(C2="PL","IX","NONE"))))))</f>
        <v>Ni</v>
      </c>
      <c r="F2" s="84">
        <v>76200.0</v>
      </c>
    </row>
    <row r="3">
      <c r="A3" s="85" t="s">
        <v>188</v>
      </c>
      <c r="B3" s="85" t="s">
        <v>72</v>
      </c>
      <c r="C3" s="86" t="s">
        <v>186</v>
      </c>
      <c r="D3" s="86" t="s">
        <v>189</v>
      </c>
      <c r="E3" s="85" t="str">
        <f t="shared" si="1"/>
        <v>Ni</v>
      </c>
      <c r="F3" s="84">
        <v>15900.0</v>
      </c>
    </row>
    <row r="4">
      <c r="A4" s="85" t="s">
        <v>190</v>
      </c>
      <c r="B4" s="85" t="s">
        <v>72</v>
      </c>
      <c r="C4" s="87" t="s">
        <v>186</v>
      </c>
      <c r="D4" s="87" t="s">
        <v>191</v>
      </c>
      <c r="E4" s="85" t="str">
        <f t="shared" si="1"/>
        <v>Ni</v>
      </c>
      <c r="F4" s="84">
        <v>14200.0</v>
      </c>
    </row>
    <row r="5">
      <c r="A5" s="85" t="s">
        <v>192</v>
      </c>
      <c r="B5" s="85" t="s">
        <v>72</v>
      </c>
      <c r="C5" s="88" t="s">
        <v>186</v>
      </c>
      <c r="D5" s="88" t="s">
        <v>193</v>
      </c>
      <c r="E5" s="85" t="str">
        <f t="shared" si="1"/>
        <v>Ni</v>
      </c>
      <c r="F5" s="84">
        <v>15900.0</v>
      </c>
    </row>
    <row r="6">
      <c r="A6" s="85" t="s">
        <v>194</v>
      </c>
      <c r="B6" s="85" t="s">
        <v>72</v>
      </c>
      <c r="C6" s="87" t="s">
        <v>186</v>
      </c>
      <c r="D6" s="87" t="s">
        <v>195</v>
      </c>
      <c r="E6" s="85" t="str">
        <f t="shared" si="1"/>
        <v>Ni</v>
      </c>
      <c r="F6" s="84">
        <v>15900.0</v>
      </c>
    </row>
    <row r="7">
      <c r="A7" s="85" t="s">
        <v>196</v>
      </c>
      <c r="B7" s="85" t="s">
        <v>72</v>
      </c>
      <c r="C7" s="88" t="s">
        <v>186</v>
      </c>
      <c r="D7" s="88" t="s">
        <v>197</v>
      </c>
      <c r="E7" s="85" t="str">
        <f t="shared" si="1"/>
        <v>Ni</v>
      </c>
      <c r="F7" s="84">
        <v>15900.0</v>
      </c>
    </row>
    <row r="8">
      <c r="A8" s="85" t="s">
        <v>198</v>
      </c>
      <c r="B8" s="85" t="s">
        <v>72</v>
      </c>
      <c r="C8" s="87" t="s">
        <v>186</v>
      </c>
      <c r="D8" s="87" t="s">
        <v>199</v>
      </c>
      <c r="E8" s="85" t="str">
        <f t="shared" si="1"/>
        <v>Ni</v>
      </c>
      <c r="F8" s="84">
        <v>15900.0</v>
      </c>
    </row>
    <row r="9">
      <c r="A9" s="85" t="s">
        <v>200</v>
      </c>
      <c r="B9" s="85" t="s">
        <v>72</v>
      </c>
      <c r="C9" s="88" t="s">
        <v>186</v>
      </c>
      <c r="D9" s="88" t="s">
        <v>201</v>
      </c>
      <c r="E9" s="85" t="str">
        <f t="shared" si="1"/>
        <v>Ni</v>
      </c>
      <c r="F9" s="84">
        <v>37000.0</v>
      </c>
    </row>
    <row r="10">
      <c r="A10" s="89" t="s">
        <v>202</v>
      </c>
      <c r="B10" s="85" t="s">
        <v>72</v>
      </c>
      <c r="C10" s="88" t="s">
        <v>186</v>
      </c>
      <c r="D10" s="90" t="s">
        <v>203</v>
      </c>
      <c r="E10" s="85" t="str">
        <f t="shared" si="1"/>
        <v>Ni</v>
      </c>
      <c r="F10" s="84">
        <v>37000.0</v>
      </c>
    </row>
    <row r="11">
      <c r="A11" s="85" t="s">
        <v>204</v>
      </c>
      <c r="B11" s="85" t="s">
        <v>72</v>
      </c>
      <c r="C11" s="87" t="s">
        <v>186</v>
      </c>
      <c r="D11" s="87" t="s">
        <v>205</v>
      </c>
      <c r="E11" s="85" t="str">
        <f t="shared" si="1"/>
        <v>Ni</v>
      </c>
      <c r="F11" s="84">
        <v>15900.0</v>
      </c>
    </row>
    <row r="12">
      <c r="A12" s="85" t="s">
        <v>206</v>
      </c>
      <c r="B12" s="85" t="s">
        <v>72</v>
      </c>
      <c r="C12" s="88" t="s">
        <v>186</v>
      </c>
      <c r="D12" s="88" t="s">
        <v>207</v>
      </c>
      <c r="E12" s="85" t="str">
        <f t="shared" si="1"/>
        <v>Ni</v>
      </c>
      <c r="F12" s="84">
        <v>15900.0</v>
      </c>
    </row>
    <row r="13">
      <c r="A13" s="85" t="s">
        <v>208</v>
      </c>
      <c r="B13" s="85" t="s">
        <v>72</v>
      </c>
      <c r="C13" s="87" t="s">
        <v>186</v>
      </c>
      <c r="D13" s="87" t="s">
        <v>209</v>
      </c>
      <c r="E13" s="85" t="str">
        <f t="shared" si="1"/>
        <v>Ni</v>
      </c>
      <c r="F13" s="84">
        <v>15900.0</v>
      </c>
    </row>
    <row r="14">
      <c r="A14" s="85" t="s">
        <v>210</v>
      </c>
      <c r="B14" s="85" t="s">
        <v>72</v>
      </c>
      <c r="C14" s="88" t="s">
        <v>186</v>
      </c>
      <c r="D14" s="88" t="s">
        <v>211</v>
      </c>
      <c r="E14" s="85" t="str">
        <f t="shared" si="1"/>
        <v>Ni</v>
      </c>
      <c r="F14" s="84">
        <v>15900.0</v>
      </c>
    </row>
    <row r="15">
      <c r="A15" s="85" t="s">
        <v>212</v>
      </c>
      <c r="B15" s="85" t="s">
        <v>72</v>
      </c>
      <c r="C15" s="87" t="s">
        <v>186</v>
      </c>
      <c r="D15" s="87" t="s">
        <v>213</v>
      </c>
      <c r="E15" s="85" t="str">
        <f t="shared" si="1"/>
        <v>Ni</v>
      </c>
      <c r="F15" s="84">
        <v>15900.0</v>
      </c>
    </row>
    <row r="16">
      <c r="A16" s="85" t="s">
        <v>214</v>
      </c>
      <c r="B16" s="85" t="s">
        <v>72</v>
      </c>
      <c r="C16" s="88" t="s">
        <v>186</v>
      </c>
      <c r="D16" s="88" t="s">
        <v>215</v>
      </c>
      <c r="E16" s="85" t="str">
        <f t="shared" si="1"/>
        <v>Ni</v>
      </c>
      <c r="F16" s="84">
        <v>14200.0</v>
      </c>
    </row>
    <row r="17">
      <c r="A17" s="85" t="s">
        <v>216</v>
      </c>
      <c r="B17" s="85" t="s">
        <v>72</v>
      </c>
      <c r="C17" s="87" t="s">
        <v>186</v>
      </c>
      <c r="D17" s="87" t="s">
        <v>217</v>
      </c>
      <c r="E17" s="85" t="str">
        <f t="shared" si="1"/>
        <v>Ni</v>
      </c>
      <c r="F17" s="84">
        <v>13100.0</v>
      </c>
    </row>
    <row r="18">
      <c r="A18" s="85" t="s">
        <v>218</v>
      </c>
      <c r="B18" s="85" t="s">
        <v>72</v>
      </c>
      <c r="C18" s="88" t="s">
        <v>186</v>
      </c>
      <c r="D18" s="88" t="s">
        <v>219</v>
      </c>
      <c r="E18" s="85" t="str">
        <f t="shared" si="1"/>
        <v>Ni</v>
      </c>
      <c r="F18" s="84">
        <v>14200.0</v>
      </c>
    </row>
    <row r="19">
      <c r="A19" s="85" t="s">
        <v>220</v>
      </c>
      <c r="B19" s="85" t="s">
        <v>72</v>
      </c>
      <c r="C19" s="87" t="s">
        <v>186</v>
      </c>
      <c r="D19" s="87" t="s">
        <v>221</v>
      </c>
      <c r="E19" s="85" t="str">
        <f t="shared" si="1"/>
        <v>Ni</v>
      </c>
      <c r="F19" s="84">
        <v>14200.0</v>
      </c>
    </row>
    <row r="20">
      <c r="A20" s="85" t="s">
        <v>222</v>
      </c>
      <c r="B20" s="85" t="s">
        <v>72</v>
      </c>
      <c r="C20" s="88" t="s">
        <v>186</v>
      </c>
      <c r="D20" s="88" t="s">
        <v>223</v>
      </c>
      <c r="E20" s="85" t="str">
        <f t="shared" si="1"/>
        <v>Ni</v>
      </c>
      <c r="F20" s="84">
        <v>15900.0</v>
      </c>
    </row>
    <row r="21">
      <c r="A21" s="85" t="s">
        <v>224</v>
      </c>
      <c r="B21" s="85" t="s">
        <v>72</v>
      </c>
      <c r="C21" s="87" t="s">
        <v>186</v>
      </c>
      <c r="D21" s="87" t="s">
        <v>225</v>
      </c>
      <c r="E21" s="85" t="str">
        <f t="shared" si="1"/>
        <v>Ni</v>
      </c>
      <c r="F21" s="84">
        <v>12900.0</v>
      </c>
    </row>
    <row r="22">
      <c r="A22" s="85" t="s">
        <v>226</v>
      </c>
      <c r="B22" s="85" t="s">
        <v>72</v>
      </c>
      <c r="C22" s="88" t="s">
        <v>186</v>
      </c>
      <c r="D22" s="88" t="s">
        <v>227</v>
      </c>
      <c r="E22" s="85" t="str">
        <f t="shared" si="1"/>
        <v>Ni</v>
      </c>
      <c r="F22" s="84">
        <v>43750.0</v>
      </c>
    </row>
    <row r="23">
      <c r="A23" s="85" t="s">
        <v>228</v>
      </c>
      <c r="B23" s="85" t="s">
        <v>72</v>
      </c>
      <c r="C23" s="87" t="s">
        <v>186</v>
      </c>
      <c r="D23" s="87" t="s">
        <v>229</v>
      </c>
      <c r="E23" s="85" t="str">
        <f t="shared" si="1"/>
        <v>Ni</v>
      </c>
      <c r="F23" s="84">
        <v>14200.0</v>
      </c>
    </row>
    <row r="24">
      <c r="A24" s="85" t="s">
        <v>230</v>
      </c>
      <c r="B24" s="85" t="s">
        <v>72</v>
      </c>
      <c r="C24" s="88" t="s">
        <v>186</v>
      </c>
      <c r="D24" s="88" t="s">
        <v>231</v>
      </c>
      <c r="E24" s="85" t="str">
        <f t="shared" si="1"/>
        <v>Ni</v>
      </c>
      <c r="F24" s="84">
        <v>34600.0</v>
      </c>
    </row>
    <row r="25">
      <c r="A25" s="85" t="s">
        <v>232</v>
      </c>
      <c r="B25" s="85" t="s">
        <v>72</v>
      </c>
      <c r="C25" s="87" t="s">
        <v>186</v>
      </c>
      <c r="D25" s="87" t="s">
        <v>233</v>
      </c>
      <c r="E25" s="85" t="str">
        <f t="shared" si="1"/>
        <v>Ni</v>
      </c>
      <c r="F25" s="84">
        <v>34600.0</v>
      </c>
    </row>
    <row r="26">
      <c r="A26" s="85" t="s">
        <v>234</v>
      </c>
      <c r="B26" s="85" t="s">
        <v>72</v>
      </c>
      <c r="C26" s="88" t="s">
        <v>186</v>
      </c>
      <c r="D26" s="88" t="s">
        <v>235</v>
      </c>
      <c r="E26" s="85" t="str">
        <f t="shared" si="1"/>
        <v>Ni</v>
      </c>
      <c r="F26" s="84">
        <v>12900.0</v>
      </c>
    </row>
    <row r="27">
      <c r="A27" s="85" t="s">
        <v>236</v>
      </c>
      <c r="B27" s="85" t="s">
        <v>72</v>
      </c>
      <c r="C27" s="87" t="s">
        <v>186</v>
      </c>
      <c r="D27" s="87" t="s">
        <v>237</v>
      </c>
      <c r="E27" s="85" t="str">
        <f t="shared" si="1"/>
        <v>Ni</v>
      </c>
      <c r="F27" s="84">
        <v>12900.0</v>
      </c>
    </row>
    <row r="28">
      <c r="A28" s="85" t="s">
        <v>238</v>
      </c>
      <c r="B28" s="85" t="s">
        <v>72</v>
      </c>
      <c r="C28" s="88" t="s">
        <v>186</v>
      </c>
      <c r="D28" s="88" t="s">
        <v>239</v>
      </c>
      <c r="E28" s="85" t="str">
        <f t="shared" si="1"/>
        <v>Ni</v>
      </c>
      <c r="F28" s="84">
        <v>12900.0</v>
      </c>
    </row>
    <row r="29">
      <c r="A29" s="85" t="s">
        <v>240</v>
      </c>
      <c r="B29" s="85" t="s">
        <v>72</v>
      </c>
      <c r="C29" s="87" t="s">
        <v>186</v>
      </c>
      <c r="D29" s="87" t="s">
        <v>241</v>
      </c>
      <c r="E29" s="85" t="str">
        <f t="shared" si="1"/>
        <v>Ni</v>
      </c>
      <c r="F29" s="84">
        <v>12900.0</v>
      </c>
    </row>
    <row r="30">
      <c r="A30" s="85" t="s">
        <v>242</v>
      </c>
      <c r="B30" s="85" t="s">
        <v>72</v>
      </c>
      <c r="C30" s="88" t="s">
        <v>186</v>
      </c>
      <c r="D30" s="88" t="s">
        <v>243</v>
      </c>
      <c r="E30" s="85" t="str">
        <f t="shared" si="1"/>
        <v>Ni</v>
      </c>
      <c r="F30" s="84">
        <v>49900.0</v>
      </c>
    </row>
    <row r="31">
      <c r="A31" s="85" t="s">
        <v>244</v>
      </c>
      <c r="B31" s="85" t="s">
        <v>72</v>
      </c>
      <c r="C31" s="87" t="s">
        <v>186</v>
      </c>
      <c r="D31" s="87" t="s">
        <v>245</v>
      </c>
      <c r="E31" s="85" t="str">
        <f t="shared" si="1"/>
        <v>Ni</v>
      </c>
      <c r="F31" s="84">
        <v>49900.0</v>
      </c>
    </row>
    <row r="32">
      <c r="A32" s="89" t="s">
        <v>246</v>
      </c>
      <c r="B32" s="85" t="s">
        <v>72</v>
      </c>
      <c r="C32" s="87" t="s">
        <v>186</v>
      </c>
      <c r="D32" s="90" t="s">
        <v>247</v>
      </c>
      <c r="E32" s="85" t="str">
        <f t="shared" si="1"/>
        <v>Ni</v>
      </c>
      <c r="F32" s="6">
        <v>49900.0</v>
      </c>
    </row>
    <row r="33">
      <c r="A33" s="85" t="s">
        <v>248</v>
      </c>
      <c r="B33" s="85" t="s">
        <v>72</v>
      </c>
      <c r="C33" s="88" t="s">
        <v>186</v>
      </c>
      <c r="D33" s="88" t="s">
        <v>249</v>
      </c>
      <c r="E33" s="85" t="str">
        <f t="shared" si="1"/>
        <v>Ni</v>
      </c>
      <c r="F33" s="84">
        <v>13900.0</v>
      </c>
    </row>
    <row r="34">
      <c r="A34" s="89" t="s">
        <v>250</v>
      </c>
      <c r="B34" s="85" t="s">
        <v>72</v>
      </c>
      <c r="C34" s="88" t="s">
        <v>186</v>
      </c>
      <c r="D34" s="91" t="s">
        <v>77</v>
      </c>
      <c r="E34" s="85" t="str">
        <f t="shared" si="1"/>
        <v>Ni</v>
      </c>
      <c r="F34" s="6">
        <v>15900.0</v>
      </c>
    </row>
    <row r="35">
      <c r="A35" s="85" t="s">
        <v>251</v>
      </c>
      <c r="B35" s="85" t="s">
        <v>72</v>
      </c>
      <c r="C35" s="87" t="s">
        <v>186</v>
      </c>
      <c r="D35" s="87" t="s">
        <v>252</v>
      </c>
      <c r="E35" s="85" t="str">
        <f t="shared" si="1"/>
        <v>Ni</v>
      </c>
      <c r="F35" s="84">
        <v>14200.0</v>
      </c>
    </row>
    <row r="36">
      <c r="A36" s="85" t="s">
        <v>253</v>
      </c>
      <c r="B36" s="85" t="s">
        <v>72</v>
      </c>
      <c r="C36" s="88" t="s">
        <v>186</v>
      </c>
      <c r="D36" s="88" t="s">
        <v>254</v>
      </c>
      <c r="E36" s="85" t="str">
        <f t="shared" si="1"/>
        <v>Ni</v>
      </c>
      <c r="F36" s="84">
        <v>14200.0</v>
      </c>
    </row>
    <row r="37">
      <c r="A37" s="85" t="s">
        <v>255</v>
      </c>
      <c r="B37" s="85" t="s">
        <v>72</v>
      </c>
      <c r="C37" s="87" t="s">
        <v>186</v>
      </c>
      <c r="D37" s="87" t="s">
        <v>256</v>
      </c>
      <c r="E37" s="85" t="str">
        <f t="shared" si="1"/>
        <v>Ni</v>
      </c>
      <c r="F37" s="84">
        <v>14200.0</v>
      </c>
    </row>
    <row r="38">
      <c r="A38" s="85" t="s">
        <v>257</v>
      </c>
      <c r="B38" s="85" t="s">
        <v>72</v>
      </c>
      <c r="C38" s="88" t="s">
        <v>186</v>
      </c>
      <c r="D38" s="88" t="s">
        <v>258</v>
      </c>
      <c r="E38" s="85" t="str">
        <f t="shared" si="1"/>
        <v>Ni</v>
      </c>
      <c r="F38" s="84">
        <v>115100.0</v>
      </c>
    </row>
    <row r="39">
      <c r="A39" s="89" t="s">
        <v>259</v>
      </c>
      <c r="B39" s="85" t="s">
        <v>72</v>
      </c>
      <c r="C39" s="88" t="s">
        <v>186</v>
      </c>
      <c r="D39" s="90" t="s">
        <v>260</v>
      </c>
      <c r="E39" s="85" t="str">
        <f t="shared" si="1"/>
        <v>Ni</v>
      </c>
      <c r="F39" s="84">
        <v>115100.0</v>
      </c>
    </row>
    <row r="40">
      <c r="A40" s="85" t="s">
        <v>261</v>
      </c>
      <c r="B40" s="85" t="s">
        <v>72</v>
      </c>
      <c r="C40" s="87" t="s">
        <v>186</v>
      </c>
      <c r="D40" s="87" t="s">
        <v>262</v>
      </c>
      <c r="E40" s="85" t="str">
        <f t="shared" si="1"/>
        <v>Ni</v>
      </c>
      <c r="F40" s="84">
        <v>14200.0</v>
      </c>
    </row>
    <row r="41">
      <c r="A41" s="85" t="s">
        <v>263</v>
      </c>
      <c r="B41" s="85" t="s">
        <v>72</v>
      </c>
      <c r="C41" s="88" t="s">
        <v>186</v>
      </c>
      <c r="D41" s="88" t="s">
        <v>264</v>
      </c>
      <c r="E41" s="85" t="str">
        <f t="shared" si="1"/>
        <v>Ni</v>
      </c>
      <c r="F41" s="84">
        <v>14200.0</v>
      </c>
    </row>
    <row r="42">
      <c r="A42" s="85" t="s">
        <v>265</v>
      </c>
      <c r="B42" s="85" t="s">
        <v>72</v>
      </c>
      <c r="C42" s="87" t="s">
        <v>186</v>
      </c>
      <c r="D42" s="87" t="s">
        <v>266</v>
      </c>
      <c r="E42" s="85" t="str">
        <f t="shared" si="1"/>
        <v>Ni</v>
      </c>
      <c r="F42" s="84">
        <v>14200.0</v>
      </c>
    </row>
    <row r="43">
      <c r="A43" s="85" t="s">
        <v>267</v>
      </c>
      <c r="B43" s="85" t="s">
        <v>72</v>
      </c>
      <c r="C43" s="88" t="s">
        <v>186</v>
      </c>
      <c r="D43" s="88" t="s">
        <v>268</v>
      </c>
      <c r="E43" s="85" t="str">
        <f t="shared" si="1"/>
        <v>Ni</v>
      </c>
      <c r="F43" s="84">
        <v>49000.0</v>
      </c>
    </row>
    <row r="44">
      <c r="A44" s="85" t="s">
        <v>269</v>
      </c>
      <c r="B44" s="85" t="s">
        <v>72</v>
      </c>
      <c r="C44" s="87" t="s">
        <v>186</v>
      </c>
      <c r="D44" s="87" t="s">
        <v>270</v>
      </c>
      <c r="E44" s="85" t="str">
        <f t="shared" si="1"/>
        <v>Ni</v>
      </c>
      <c r="F44" s="84">
        <v>14200.0</v>
      </c>
    </row>
    <row r="45">
      <c r="A45" s="85" t="s">
        <v>271</v>
      </c>
      <c r="B45" s="85" t="s">
        <v>72</v>
      </c>
      <c r="C45" s="88" t="s">
        <v>186</v>
      </c>
      <c r="D45" s="88" t="s">
        <v>272</v>
      </c>
      <c r="E45" s="85" t="str">
        <f t="shared" si="1"/>
        <v>Ni</v>
      </c>
      <c r="F45" s="84">
        <v>14200.0</v>
      </c>
    </row>
    <row r="46">
      <c r="A46" s="89" t="s">
        <v>273</v>
      </c>
      <c r="B46" s="85" t="s">
        <v>72</v>
      </c>
      <c r="C46" s="88" t="s">
        <v>186</v>
      </c>
      <c r="D46" s="91" t="s">
        <v>274</v>
      </c>
      <c r="E46" s="85" t="str">
        <f t="shared" si="1"/>
        <v>Ni</v>
      </c>
      <c r="F46" s="6">
        <v>83900.0</v>
      </c>
    </row>
    <row r="47">
      <c r="A47" s="89" t="s">
        <v>279</v>
      </c>
      <c r="B47" s="85" t="s">
        <v>72</v>
      </c>
      <c r="C47" s="88" t="s">
        <v>186</v>
      </c>
      <c r="D47" s="91" t="s">
        <v>280</v>
      </c>
      <c r="E47" s="85" t="str">
        <f t="shared" si="1"/>
        <v>Ni</v>
      </c>
      <c r="F47" s="6">
        <v>49000.0</v>
      </c>
    </row>
    <row r="48">
      <c r="A48" s="85" t="s">
        <v>275</v>
      </c>
      <c r="B48" s="85" t="s">
        <v>72</v>
      </c>
      <c r="C48" s="87" t="s">
        <v>186</v>
      </c>
      <c r="D48" s="87" t="s">
        <v>276</v>
      </c>
      <c r="E48" s="85" t="str">
        <f t="shared" si="1"/>
        <v>Ni</v>
      </c>
      <c r="F48" s="84">
        <v>53850.0</v>
      </c>
    </row>
    <row r="49">
      <c r="A49" s="85" t="s">
        <v>277</v>
      </c>
      <c r="B49" s="85" t="s">
        <v>72</v>
      </c>
      <c r="C49" s="88" t="s">
        <v>186</v>
      </c>
      <c r="D49" s="88" t="s">
        <v>278</v>
      </c>
      <c r="E49" s="85" t="str">
        <f t="shared" si="1"/>
        <v>Ni</v>
      </c>
      <c r="F49" s="84">
        <v>49000.0</v>
      </c>
    </row>
    <row r="50">
      <c r="A50" s="85" t="s">
        <v>281</v>
      </c>
      <c r="B50" s="85" t="s">
        <v>72</v>
      </c>
      <c r="C50" s="87" t="s">
        <v>186</v>
      </c>
      <c r="D50" s="87" t="s">
        <v>282</v>
      </c>
      <c r="E50" s="85" t="str">
        <f t="shared" si="1"/>
        <v>Ni</v>
      </c>
      <c r="F50" s="84">
        <v>14200.0</v>
      </c>
    </row>
    <row r="51">
      <c r="A51" s="85" t="s">
        <v>283</v>
      </c>
      <c r="B51" s="85" t="s">
        <v>72</v>
      </c>
      <c r="C51" s="88" t="s">
        <v>186</v>
      </c>
      <c r="D51" s="88" t="s">
        <v>284</v>
      </c>
      <c r="E51" s="85" t="str">
        <f t="shared" si="1"/>
        <v>Ni</v>
      </c>
      <c r="F51" s="84">
        <v>97100.0</v>
      </c>
    </row>
    <row r="52">
      <c r="A52" s="85" t="s">
        <v>285</v>
      </c>
      <c r="B52" s="85" t="s">
        <v>72</v>
      </c>
      <c r="C52" s="87" t="s">
        <v>186</v>
      </c>
      <c r="D52" s="87" t="s">
        <v>286</v>
      </c>
      <c r="E52" s="85" t="str">
        <f t="shared" si="1"/>
        <v>Ni</v>
      </c>
      <c r="F52" s="84">
        <v>13100.0</v>
      </c>
    </row>
    <row r="53">
      <c r="A53" s="85" t="s">
        <v>287</v>
      </c>
      <c r="B53" s="85" t="s">
        <v>72</v>
      </c>
      <c r="C53" s="88" t="s">
        <v>186</v>
      </c>
      <c r="D53" s="88" t="s">
        <v>288</v>
      </c>
      <c r="E53" s="85" t="str">
        <f t="shared" si="1"/>
        <v>Ni</v>
      </c>
      <c r="F53" s="84">
        <v>13100.0</v>
      </c>
    </row>
    <row r="54">
      <c r="A54" s="85" t="s">
        <v>289</v>
      </c>
      <c r="B54" s="85" t="s">
        <v>72</v>
      </c>
      <c r="C54" s="87" t="s">
        <v>186</v>
      </c>
      <c r="D54" s="87" t="s">
        <v>290</v>
      </c>
      <c r="E54" s="85" t="str">
        <f t="shared" si="1"/>
        <v>Ni</v>
      </c>
      <c r="F54" s="84">
        <v>14200.0</v>
      </c>
    </row>
    <row r="55">
      <c r="A55" s="85" t="s">
        <v>291</v>
      </c>
      <c r="B55" s="85" t="s">
        <v>72</v>
      </c>
      <c r="C55" s="88" t="s">
        <v>186</v>
      </c>
      <c r="D55" s="88" t="s">
        <v>292</v>
      </c>
      <c r="E55" s="85" t="str">
        <f t="shared" si="1"/>
        <v>Ni</v>
      </c>
      <c r="F55" s="84">
        <v>51100.0</v>
      </c>
    </row>
    <row r="56">
      <c r="A56" s="89" t="s">
        <v>293</v>
      </c>
      <c r="B56" s="85" t="s">
        <v>72</v>
      </c>
      <c r="C56" s="88" t="s">
        <v>186</v>
      </c>
      <c r="D56" s="90" t="s">
        <v>294</v>
      </c>
      <c r="E56" s="85" t="str">
        <f t="shared" si="1"/>
        <v>Ni</v>
      </c>
      <c r="F56" s="84">
        <v>51100.0</v>
      </c>
    </row>
    <row r="57">
      <c r="A57" s="85" t="s">
        <v>295</v>
      </c>
      <c r="B57" s="85" t="s">
        <v>72</v>
      </c>
      <c r="C57" s="87" t="s">
        <v>186</v>
      </c>
      <c r="D57" s="87" t="s">
        <v>296</v>
      </c>
      <c r="E57" s="85" t="str">
        <f t="shared" si="1"/>
        <v>Ni</v>
      </c>
      <c r="F57" s="84">
        <v>150700.0</v>
      </c>
    </row>
    <row r="58">
      <c r="A58" s="85" t="s">
        <v>297</v>
      </c>
      <c r="B58" s="85" t="s">
        <v>72</v>
      </c>
      <c r="C58" s="88" t="s">
        <v>186</v>
      </c>
      <c r="D58" s="88" t="s">
        <v>298</v>
      </c>
      <c r="E58" s="85" t="str">
        <f t="shared" si="1"/>
        <v>Ni</v>
      </c>
      <c r="F58" s="84">
        <v>51100.0</v>
      </c>
    </row>
    <row r="59">
      <c r="A59" s="82" t="s">
        <v>299</v>
      </c>
      <c r="B59" s="83" t="s">
        <v>72</v>
      </c>
      <c r="C59" s="83" t="s">
        <v>186</v>
      </c>
      <c r="D59" s="82" t="s">
        <v>300</v>
      </c>
      <c r="E59" s="83" t="str">
        <f t="shared" si="1"/>
        <v>Ni</v>
      </c>
      <c r="F59" s="84">
        <v>150700.0</v>
      </c>
    </row>
    <row r="60">
      <c r="A60" s="85" t="s">
        <v>301</v>
      </c>
      <c r="B60" s="85" t="s">
        <v>72</v>
      </c>
      <c r="C60" s="87" t="s">
        <v>186</v>
      </c>
      <c r="D60" s="87" t="s">
        <v>302</v>
      </c>
      <c r="E60" s="85" t="str">
        <f t="shared" si="1"/>
        <v>Ni</v>
      </c>
      <c r="F60" s="84">
        <v>150700.0</v>
      </c>
    </row>
    <row r="61">
      <c r="A61" s="85" t="s">
        <v>303</v>
      </c>
      <c r="B61" s="85" t="s">
        <v>72</v>
      </c>
      <c r="C61" s="88" t="s">
        <v>186</v>
      </c>
      <c r="D61" s="88" t="s">
        <v>304</v>
      </c>
      <c r="E61" s="85" t="str">
        <f t="shared" si="1"/>
        <v>Ni</v>
      </c>
      <c r="F61" s="84">
        <v>150700.0</v>
      </c>
    </row>
    <row r="62">
      <c r="A62" s="85" t="s">
        <v>306</v>
      </c>
      <c r="B62" s="85" t="s">
        <v>72</v>
      </c>
      <c r="C62" s="87" t="s">
        <v>186</v>
      </c>
      <c r="D62" s="87" t="s">
        <v>307</v>
      </c>
      <c r="E62" s="85" t="str">
        <f t="shared" si="1"/>
        <v>Ni</v>
      </c>
      <c r="F62" s="84">
        <v>150700.0</v>
      </c>
    </row>
    <row r="63">
      <c r="A63" s="82" t="s">
        <v>305</v>
      </c>
      <c r="B63" s="83" t="s">
        <v>72</v>
      </c>
      <c r="C63" s="83" t="s">
        <v>186</v>
      </c>
      <c r="D63" s="82" t="s">
        <v>71</v>
      </c>
      <c r="E63" s="83" t="str">
        <f t="shared" si="1"/>
        <v>Ni</v>
      </c>
      <c r="F63" s="92">
        <v>222700.0</v>
      </c>
    </row>
    <row r="64">
      <c r="A64" s="85" t="s">
        <v>308</v>
      </c>
      <c r="B64" s="85" t="s">
        <v>72</v>
      </c>
      <c r="C64" s="88" t="s">
        <v>186</v>
      </c>
      <c r="D64" s="88" t="s">
        <v>309</v>
      </c>
      <c r="E64" s="85" t="str">
        <f t="shared" si="1"/>
        <v>Ni</v>
      </c>
      <c r="F64" s="84">
        <v>150700.0</v>
      </c>
    </row>
    <row r="65">
      <c r="A65" s="82" t="s">
        <v>49</v>
      </c>
      <c r="B65" s="89" t="s">
        <v>72</v>
      </c>
      <c r="C65" s="91" t="s">
        <v>186</v>
      </c>
      <c r="D65" s="91" t="s">
        <v>50</v>
      </c>
      <c r="E65" s="85" t="str">
        <f t="shared" si="1"/>
        <v>Ni</v>
      </c>
      <c r="F65" s="84">
        <v>150700.0</v>
      </c>
    </row>
    <row r="66">
      <c r="A66" s="85" t="s">
        <v>310</v>
      </c>
      <c r="B66" s="85" t="s">
        <v>72</v>
      </c>
      <c r="C66" s="87" t="s">
        <v>186</v>
      </c>
      <c r="D66" s="87" t="s">
        <v>311</v>
      </c>
      <c r="E66" s="85" t="str">
        <f t="shared" si="1"/>
        <v>Ni</v>
      </c>
      <c r="F66" s="84">
        <v>18200.0</v>
      </c>
    </row>
    <row r="67">
      <c r="A67" s="89" t="s">
        <v>312</v>
      </c>
      <c r="B67" s="89" t="s">
        <v>72</v>
      </c>
      <c r="C67" s="90" t="s">
        <v>186</v>
      </c>
      <c r="D67" s="90" t="s">
        <v>313</v>
      </c>
      <c r="E67" s="89" t="s">
        <v>314</v>
      </c>
      <c r="F67" s="6">
        <v>18200.0</v>
      </c>
    </row>
    <row r="68">
      <c r="A68" s="85" t="s">
        <v>315</v>
      </c>
      <c r="B68" s="85" t="s">
        <v>72</v>
      </c>
      <c r="C68" s="88" t="s">
        <v>186</v>
      </c>
      <c r="D68" s="88" t="s">
        <v>316</v>
      </c>
      <c r="E68" s="85" t="str">
        <f t="shared" ref="E68:E187" si="2">if(C68="YL","Ni",if(C68="GP","GP",if(C68="RACING","IX",if(C68="IL","IX",if(C68="IX","IX",if(C68="PL","IX","NONE"))))))</f>
        <v>Ni</v>
      </c>
      <c r="F68" s="84">
        <v>20000.0</v>
      </c>
    </row>
    <row r="69">
      <c r="A69" s="85" t="s">
        <v>317</v>
      </c>
      <c r="B69" s="85" t="s">
        <v>72</v>
      </c>
      <c r="C69" s="87" t="s">
        <v>186</v>
      </c>
      <c r="D69" s="93" t="s">
        <v>318</v>
      </c>
      <c r="E69" s="85" t="str">
        <f t="shared" si="2"/>
        <v>Ni</v>
      </c>
      <c r="F69" s="84">
        <v>14200.0</v>
      </c>
    </row>
    <row r="70">
      <c r="A70" s="85" t="s">
        <v>319</v>
      </c>
      <c r="B70" s="85" t="s">
        <v>72</v>
      </c>
      <c r="C70" s="88" t="s">
        <v>186</v>
      </c>
      <c r="D70" s="93" t="s">
        <v>320</v>
      </c>
      <c r="E70" s="85" t="str">
        <f t="shared" si="2"/>
        <v>Ni</v>
      </c>
      <c r="F70" s="84">
        <v>14200.0</v>
      </c>
    </row>
    <row r="71">
      <c r="A71" s="85" t="s">
        <v>321</v>
      </c>
      <c r="B71" s="85" t="s">
        <v>72</v>
      </c>
      <c r="C71" s="87" t="s">
        <v>186</v>
      </c>
      <c r="D71" s="93" t="s">
        <v>322</v>
      </c>
      <c r="E71" s="85" t="str">
        <f t="shared" si="2"/>
        <v>Ni</v>
      </c>
      <c r="F71" s="84">
        <v>14200.0</v>
      </c>
    </row>
    <row r="72">
      <c r="A72" s="82" t="s">
        <v>323</v>
      </c>
      <c r="B72" s="83" t="s">
        <v>72</v>
      </c>
      <c r="C72" s="83" t="s">
        <v>186</v>
      </c>
      <c r="D72" s="82" t="s">
        <v>17</v>
      </c>
      <c r="E72" s="85" t="str">
        <f t="shared" si="2"/>
        <v>Ni</v>
      </c>
      <c r="F72" s="84">
        <v>14200.0</v>
      </c>
    </row>
    <row r="73">
      <c r="A73" s="82" t="s">
        <v>324</v>
      </c>
      <c r="B73" s="83" t="s">
        <v>72</v>
      </c>
      <c r="C73" s="83" t="s">
        <v>186</v>
      </c>
      <c r="D73" s="82" t="s">
        <v>19</v>
      </c>
      <c r="E73" s="85" t="str">
        <f t="shared" si="2"/>
        <v>Ni</v>
      </c>
      <c r="F73" s="84">
        <v>14200.0</v>
      </c>
    </row>
    <row r="74">
      <c r="A74" s="82" t="s">
        <v>325</v>
      </c>
      <c r="B74" s="83" t="s">
        <v>72</v>
      </c>
      <c r="C74" s="83" t="s">
        <v>186</v>
      </c>
      <c r="D74" s="82" t="s">
        <v>20</v>
      </c>
      <c r="E74" s="85" t="str">
        <f t="shared" si="2"/>
        <v>Ni</v>
      </c>
      <c r="F74" s="84">
        <v>14200.0</v>
      </c>
    </row>
    <row r="75">
      <c r="A75" s="85" t="s">
        <v>326</v>
      </c>
      <c r="B75" s="85" t="s">
        <v>72</v>
      </c>
      <c r="C75" s="88" t="s">
        <v>186</v>
      </c>
      <c r="D75" s="88" t="s">
        <v>327</v>
      </c>
      <c r="E75" s="85" t="str">
        <f t="shared" si="2"/>
        <v>Ni</v>
      </c>
      <c r="F75" s="84">
        <v>150700.0</v>
      </c>
    </row>
    <row r="76">
      <c r="A76" s="89" t="s">
        <v>328</v>
      </c>
      <c r="B76" s="89" t="s">
        <v>329</v>
      </c>
      <c r="C76" s="91" t="s">
        <v>330</v>
      </c>
      <c r="D76" s="91" t="s">
        <v>65</v>
      </c>
      <c r="E76" s="85" t="str">
        <f t="shared" si="2"/>
        <v>IX</v>
      </c>
      <c r="F76" s="6">
        <v>64600.0</v>
      </c>
    </row>
    <row r="77">
      <c r="A77" s="89" t="s">
        <v>331</v>
      </c>
      <c r="B77" s="89" t="s">
        <v>329</v>
      </c>
      <c r="C77" s="91" t="s">
        <v>330</v>
      </c>
      <c r="D77" s="91" t="s">
        <v>66</v>
      </c>
      <c r="E77" s="85" t="str">
        <f t="shared" si="2"/>
        <v>IX</v>
      </c>
      <c r="F77" s="6">
        <v>64600.0</v>
      </c>
    </row>
    <row r="78">
      <c r="A78" s="89" t="s">
        <v>332</v>
      </c>
      <c r="B78" s="89" t="s">
        <v>329</v>
      </c>
      <c r="C78" s="91" t="s">
        <v>330</v>
      </c>
      <c r="D78" s="91" t="s">
        <v>67</v>
      </c>
      <c r="E78" s="85" t="str">
        <f t="shared" si="2"/>
        <v>IX</v>
      </c>
      <c r="F78" s="6">
        <v>64600.0</v>
      </c>
    </row>
    <row r="79">
      <c r="A79" s="85" t="s">
        <v>333</v>
      </c>
      <c r="B79" s="85" t="s">
        <v>329</v>
      </c>
      <c r="C79" s="87" t="s">
        <v>334</v>
      </c>
      <c r="D79" s="87" t="s">
        <v>335</v>
      </c>
      <c r="E79" s="85" t="str">
        <f t="shared" si="2"/>
        <v>IX</v>
      </c>
      <c r="F79" s="84">
        <v>71700.0</v>
      </c>
    </row>
    <row r="80">
      <c r="A80" s="85" t="s">
        <v>336</v>
      </c>
      <c r="B80" s="85" t="s">
        <v>329</v>
      </c>
      <c r="C80" s="88" t="s">
        <v>337</v>
      </c>
      <c r="D80" s="88" t="s">
        <v>338</v>
      </c>
      <c r="E80" s="85" t="str">
        <f t="shared" si="2"/>
        <v>GP</v>
      </c>
      <c r="F80" s="84">
        <v>26800.0</v>
      </c>
    </row>
    <row r="81">
      <c r="A81" s="89" t="s">
        <v>339</v>
      </c>
      <c r="B81" s="85" t="s">
        <v>329</v>
      </c>
      <c r="C81" s="88" t="s">
        <v>337</v>
      </c>
      <c r="D81" s="90" t="s">
        <v>340</v>
      </c>
      <c r="E81" s="85" t="str">
        <f t="shared" si="2"/>
        <v>GP</v>
      </c>
      <c r="F81" s="84">
        <v>26800.0</v>
      </c>
    </row>
    <row r="82">
      <c r="A82" s="85" t="s">
        <v>341</v>
      </c>
      <c r="B82" s="85" t="s">
        <v>329</v>
      </c>
      <c r="C82" s="87" t="s">
        <v>334</v>
      </c>
      <c r="D82" s="87" t="s">
        <v>342</v>
      </c>
      <c r="E82" s="85" t="str">
        <f t="shared" si="2"/>
        <v>IX</v>
      </c>
      <c r="F82" s="84">
        <v>71700.0</v>
      </c>
    </row>
    <row r="83">
      <c r="A83" s="85" t="s">
        <v>343</v>
      </c>
      <c r="B83" s="85" t="s">
        <v>329</v>
      </c>
      <c r="C83" s="88" t="s">
        <v>334</v>
      </c>
      <c r="D83" s="88" t="s">
        <v>344</v>
      </c>
      <c r="E83" s="85" t="str">
        <f t="shared" si="2"/>
        <v>IX</v>
      </c>
      <c r="F83" s="84">
        <v>71700.0</v>
      </c>
    </row>
    <row r="84">
      <c r="A84" s="85" t="s">
        <v>345</v>
      </c>
      <c r="B84" s="85" t="s">
        <v>329</v>
      </c>
      <c r="C84" s="87" t="s">
        <v>334</v>
      </c>
      <c r="D84" s="87" t="s">
        <v>346</v>
      </c>
      <c r="E84" s="85" t="str">
        <f t="shared" si="2"/>
        <v>IX</v>
      </c>
      <c r="F84" s="1">
        <v>71700.0</v>
      </c>
    </row>
    <row r="85">
      <c r="A85" s="85" t="s">
        <v>347</v>
      </c>
      <c r="B85" s="85" t="s">
        <v>329</v>
      </c>
      <c r="C85" s="88" t="s">
        <v>334</v>
      </c>
      <c r="D85" s="88" t="s">
        <v>348</v>
      </c>
      <c r="E85" s="85" t="str">
        <f t="shared" si="2"/>
        <v>IX</v>
      </c>
      <c r="F85" s="84">
        <v>71700.0</v>
      </c>
    </row>
    <row r="86">
      <c r="A86" s="82" t="s">
        <v>349</v>
      </c>
      <c r="B86" s="85" t="s">
        <v>329</v>
      </c>
      <c r="C86" s="88" t="s">
        <v>334</v>
      </c>
      <c r="D86" s="90" t="s">
        <v>350</v>
      </c>
      <c r="E86" s="85" t="str">
        <f t="shared" si="2"/>
        <v>IX</v>
      </c>
      <c r="F86" s="84">
        <v>71700.0</v>
      </c>
    </row>
    <row r="87">
      <c r="A87" s="85" t="s">
        <v>351</v>
      </c>
      <c r="B87" s="85" t="s">
        <v>329</v>
      </c>
      <c r="C87" s="87" t="s">
        <v>334</v>
      </c>
      <c r="D87" s="87" t="s">
        <v>352</v>
      </c>
      <c r="E87" s="85" t="str">
        <f t="shared" si="2"/>
        <v>IX</v>
      </c>
      <c r="F87" s="84">
        <v>71700.0</v>
      </c>
    </row>
    <row r="88">
      <c r="A88" s="85" t="s">
        <v>353</v>
      </c>
      <c r="B88" s="85" t="s">
        <v>329</v>
      </c>
      <c r="C88" s="88" t="s">
        <v>337</v>
      </c>
      <c r="D88" s="88" t="s">
        <v>354</v>
      </c>
      <c r="E88" s="85" t="str">
        <f t="shared" si="2"/>
        <v>GP</v>
      </c>
      <c r="F88" s="84">
        <v>26800.0</v>
      </c>
    </row>
    <row r="89">
      <c r="A89" s="82" t="s">
        <v>355</v>
      </c>
      <c r="B89" s="85" t="s">
        <v>329</v>
      </c>
      <c r="C89" s="88" t="s">
        <v>337</v>
      </c>
      <c r="D89" s="90" t="s">
        <v>356</v>
      </c>
      <c r="E89" s="85" t="str">
        <f t="shared" si="2"/>
        <v>GP</v>
      </c>
      <c r="F89" s="84">
        <v>26800.0</v>
      </c>
    </row>
    <row r="90">
      <c r="A90" s="85" t="s">
        <v>357</v>
      </c>
      <c r="B90" s="85" t="s">
        <v>329</v>
      </c>
      <c r="C90" s="87" t="s">
        <v>334</v>
      </c>
      <c r="D90" s="87" t="s">
        <v>358</v>
      </c>
      <c r="E90" s="85" t="str">
        <f t="shared" si="2"/>
        <v>IX</v>
      </c>
      <c r="F90" s="84">
        <v>71700.0</v>
      </c>
    </row>
    <row r="91">
      <c r="A91" s="85" t="s">
        <v>359</v>
      </c>
      <c r="B91" s="85" t="s">
        <v>329</v>
      </c>
      <c r="C91" s="88" t="s">
        <v>337</v>
      </c>
      <c r="D91" s="88" t="s">
        <v>360</v>
      </c>
      <c r="E91" s="85" t="str">
        <f t="shared" si="2"/>
        <v>GP</v>
      </c>
      <c r="F91" s="84">
        <v>26800.0</v>
      </c>
    </row>
    <row r="92">
      <c r="A92" s="94" t="s">
        <v>361</v>
      </c>
      <c r="B92" s="85" t="s">
        <v>329</v>
      </c>
      <c r="C92" s="88" t="s">
        <v>337</v>
      </c>
      <c r="D92" s="90" t="s">
        <v>362</v>
      </c>
      <c r="E92" s="85" t="str">
        <f t="shared" si="2"/>
        <v>GP</v>
      </c>
      <c r="F92" s="84">
        <v>26800.0</v>
      </c>
    </row>
    <row r="93">
      <c r="A93" s="85" t="s">
        <v>363</v>
      </c>
      <c r="B93" s="85" t="s">
        <v>329</v>
      </c>
      <c r="C93" s="87" t="s">
        <v>334</v>
      </c>
      <c r="D93" s="91" t="s">
        <v>45</v>
      </c>
      <c r="E93" s="85" t="str">
        <f t="shared" si="2"/>
        <v>IX</v>
      </c>
      <c r="F93" s="84">
        <v>71700.0</v>
      </c>
    </row>
    <row r="94">
      <c r="A94" s="85" t="s">
        <v>364</v>
      </c>
      <c r="B94" s="85" t="s">
        <v>329</v>
      </c>
      <c r="C94" s="88" t="s">
        <v>334</v>
      </c>
      <c r="D94" s="90" t="s">
        <v>44</v>
      </c>
      <c r="E94" s="85" t="str">
        <f t="shared" si="2"/>
        <v>IX</v>
      </c>
      <c r="F94" s="84">
        <v>71700.0</v>
      </c>
    </row>
    <row r="95">
      <c r="A95" s="85" t="s">
        <v>367</v>
      </c>
      <c r="B95" s="85" t="s">
        <v>329</v>
      </c>
      <c r="C95" s="87" t="s">
        <v>334</v>
      </c>
      <c r="D95" s="91" t="s">
        <v>43</v>
      </c>
      <c r="E95" s="85" t="str">
        <f t="shared" si="2"/>
        <v>IX</v>
      </c>
      <c r="F95" s="84">
        <v>71700.0</v>
      </c>
    </row>
    <row r="96">
      <c r="A96" s="89" t="s">
        <v>365</v>
      </c>
      <c r="B96" s="89" t="s">
        <v>72</v>
      </c>
      <c r="C96" s="91" t="s">
        <v>186</v>
      </c>
      <c r="D96" s="91" t="s">
        <v>366</v>
      </c>
      <c r="E96" s="85" t="str">
        <f t="shared" si="2"/>
        <v>Ni</v>
      </c>
      <c r="F96" s="6">
        <v>34600.0</v>
      </c>
    </row>
    <row r="97">
      <c r="A97" s="85" t="s">
        <v>368</v>
      </c>
      <c r="B97" s="85" t="s">
        <v>329</v>
      </c>
      <c r="C97" s="88" t="s">
        <v>334</v>
      </c>
      <c r="D97" s="90" t="s">
        <v>42</v>
      </c>
      <c r="E97" s="85" t="str">
        <f t="shared" si="2"/>
        <v>IX</v>
      </c>
      <c r="F97" s="84">
        <v>71700.0</v>
      </c>
    </row>
    <row r="98">
      <c r="A98" s="82" t="s">
        <v>369</v>
      </c>
      <c r="B98" s="85" t="s">
        <v>329</v>
      </c>
      <c r="C98" s="87" t="s">
        <v>337</v>
      </c>
      <c r="D98" s="87" t="s">
        <v>370</v>
      </c>
      <c r="E98" s="85" t="str">
        <f t="shared" si="2"/>
        <v>GP</v>
      </c>
      <c r="F98" s="1">
        <v>26800.0</v>
      </c>
    </row>
    <row r="99">
      <c r="A99" s="82" t="s">
        <v>371</v>
      </c>
      <c r="B99" s="85" t="s">
        <v>329</v>
      </c>
      <c r="C99" s="87" t="s">
        <v>337</v>
      </c>
      <c r="D99" s="91" t="s">
        <v>372</v>
      </c>
      <c r="E99" s="85" t="str">
        <f t="shared" si="2"/>
        <v>GP</v>
      </c>
      <c r="F99" s="1">
        <v>26800.0</v>
      </c>
    </row>
    <row r="100">
      <c r="A100" s="85" t="s">
        <v>373</v>
      </c>
      <c r="B100" s="85" t="s">
        <v>329</v>
      </c>
      <c r="C100" s="88" t="s">
        <v>334</v>
      </c>
      <c r="D100" s="88" t="s">
        <v>374</v>
      </c>
      <c r="E100" s="85" t="str">
        <f t="shared" si="2"/>
        <v>IX</v>
      </c>
      <c r="F100" s="84">
        <v>71700.0</v>
      </c>
    </row>
    <row r="101">
      <c r="A101" s="85" t="s">
        <v>375</v>
      </c>
      <c r="B101" s="85" t="s">
        <v>329</v>
      </c>
      <c r="C101" s="87" t="s">
        <v>337</v>
      </c>
      <c r="D101" s="87" t="s">
        <v>376</v>
      </c>
      <c r="E101" s="85" t="str">
        <f t="shared" si="2"/>
        <v>GP</v>
      </c>
      <c r="F101" s="84">
        <v>26800.0</v>
      </c>
    </row>
    <row r="102">
      <c r="A102" s="89" t="s">
        <v>377</v>
      </c>
      <c r="B102" s="85" t="s">
        <v>329</v>
      </c>
      <c r="C102" s="87" t="s">
        <v>337</v>
      </c>
      <c r="D102" s="91" t="s">
        <v>378</v>
      </c>
      <c r="E102" s="85" t="str">
        <f t="shared" si="2"/>
        <v>GP</v>
      </c>
      <c r="F102" s="84">
        <v>26800.0</v>
      </c>
    </row>
    <row r="103">
      <c r="A103" s="85" t="s">
        <v>379</v>
      </c>
      <c r="B103" s="85" t="s">
        <v>329</v>
      </c>
      <c r="C103" s="88" t="s">
        <v>334</v>
      </c>
      <c r="D103" s="90" t="s">
        <v>41</v>
      </c>
      <c r="E103" s="85" t="str">
        <f t="shared" si="2"/>
        <v>IX</v>
      </c>
      <c r="F103" s="84">
        <v>71700.0</v>
      </c>
    </row>
    <row r="104">
      <c r="A104" s="82" t="s">
        <v>380</v>
      </c>
      <c r="B104" s="85" t="s">
        <v>329</v>
      </c>
      <c r="C104" s="87" t="s">
        <v>337</v>
      </c>
      <c r="D104" s="87" t="s">
        <v>381</v>
      </c>
      <c r="E104" s="85" t="str">
        <f t="shared" si="2"/>
        <v>GP</v>
      </c>
      <c r="F104" s="1">
        <v>26800.0</v>
      </c>
    </row>
    <row r="105">
      <c r="A105" s="82" t="s">
        <v>382</v>
      </c>
      <c r="B105" s="85" t="s">
        <v>329</v>
      </c>
      <c r="C105" s="87" t="s">
        <v>337</v>
      </c>
      <c r="D105" s="91" t="s">
        <v>383</v>
      </c>
      <c r="E105" s="85" t="str">
        <f t="shared" si="2"/>
        <v>GP</v>
      </c>
      <c r="F105" s="1">
        <v>26800.0</v>
      </c>
    </row>
    <row r="106">
      <c r="A106" s="85" t="s">
        <v>384</v>
      </c>
      <c r="B106" s="85" t="s">
        <v>329</v>
      </c>
      <c r="C106" s="88" t="s">
        <v>334</v>
      </c>
      <c r="D106" s="90" t="s">
        <v>40</v>
      </c>
      <c r="E106" s="85" t="str">
        <f t="shared" si="2"/>
        <v>IX</v>
      </c>
      <c r="F106" s="84">
        <v>71700.0</v>
      </c>
    </row>
    <row r="107">
      <c r="A107" s="85" t="s">
        <v>385</v>
      </c>
      <c r="B107" s="85" t="s">
        <v>329</v>
      </c>
      <c r="C107" s="87" t="s">
        <v>181</v>
      </c>
      <c r="D107" s="87" t="s">
        <v>386</v>
      </c>
      <c r="E107" s="85" t="str">
        <f t="shared" si="2"/>
        <v>IX</v>
      </c>
      <c r="F107" s="1">
        <v>149000.0</v>
      </c>
    </row>
    <row r="108">
      <c r="A108" s="82" t="s">
        <v>387</v>
      </c>
      <c r="B108" s="85" t="s">
        <v>329</v>
      </c>
      <c r="C108" s="88" t="s">
        <v>337</v>
      </c>
      <c r="D108" s="88" t="s">
        <v>388</v>
      </c>
      <c r="E108" s="85" t="str">
        <f t="shared" si="2"/>
        <v>GP</v>
      </c>
      <c r="F108" s="84">
        <v>26800.0</v>
      </c>
    </row>
    <row r="109">
      <c r="A109" s="82" t="s">
        <v>389</v>
      </c>
      <c r="B109" s="85" t="s">
        <v>329</v>
      </c>
      <c r="C109" s="88" t="s">
        <v>337</v>
      </c>
      <c r="D109" s="90" t="s">
        <v>390</v>
      </c>
      <c r="E109" s="85" t="str">
        <f t="shared" si="2"/>
        <v>GP</v>
      </c>
      <c r="F109" s="84">
        <v>26800.0</v>
      </c>
    </row>
    <row r="110">
      <c r="A110" s="85" t="s">
        <v>391</v>
      </c>
      <c r="B110" s="85" t="s">
        <v>329</v>
      </c>
      <c r="C110" s="87" t="s">
        <v>334</v>
      </c>
      <c r="D110" s="87" t="s">
        <v>392</v>
      </c>
      <c r="E110" s="85" t="str">
        <f t="shared" si="2"/>
        <v>IX</v>
      </c>
      <c r="F110" s="84">
        <v>71700.0</v>
      </c>
    </row>
    <row r="111">
      <c r="A111" s="82" t="s">
        <v>393</v>
      </c>
      <c r="B111" s="85" t="s">
        <v>329</v>
      </c>
      <c r="C111" s="87" t="s">
        <v>334</v>
      </c>
      <c r="D111" s="91" t="s">
        <v>394</v>
      </c>
      <c r="E111" s="85" t="str">
        <f t="shared" si="2"/>
        <v>IX</v>
      </c>
      <c r="F111" s="84">
        <v>71700.0</v>
      </c>
    </row>
    <row r="112">
      <c r="A112" s="85" t="s">
        <v>395</v>
      </c>
      <c r="B112" s="85" t="s">
        <v>329</v>
      </c>
      <c r="C112" s="88" t="s">
        <v>181</v>
      </c>
      <c r="D112" s="88" t="s">
        <v>396</v>
      </c>
      <c r="E112" s="85" t="str">
        <f t="shared" si="2"/>
        <v>IX</v>
      </c>
      <c r="F112" s="1">
        <v>149000.0</v>
      </c>
    </row>
    <row r="113">
      <c r="A113" s="85" t="s">
        <v>397</v>
      </c>
      <c r="B113" s="85" t="s">
        <v>329</v>
      </c>
      <c r="C113" s="87" t="s">
        <v>337</v>
      </c>
      <c r="D113" s="87" t="s">
        <v>398</v>
      </c>
      <c r="E113" s="85" t="str">
        <f t="shared" si="2"/>
        <v>GP</v>
      </c>
      <c r="F113" s="84">
        <v>26800.0</v>
      </c>
    </row>
    <row r="114">
      <c r="A114" s="85" t="s">
        <v>399</v>
      </c>
      <c r="B114" s="85" t="s">
        <v>329</v>
      </c>
      <c r="C114" s="88" t="s">
        <v>334</v>
      </c>
      <c r="D114" s="88" t="s">
        <v>400</v>
      </c>
      <c r="E114" s="85" t="str">
        <f t="shared" si="2"/>
        <v>IX</v>
      </c>
      <c r="F114" s="84">
        <v>71700.0</v>
      </c>
    </row>
    <row r="115">
      <c r="A115" s="89" t="s">
        <v>401</v>
      </c>
      <c r="B115" s="85" t="s">
        <v>329</v>
      </c>
      <c r="C115" s="88" t="s">
        <v>334</v>
      </c>
      <c r="D115" s="90" t="s">
        <v>402</v>
      </c>
      <c r="E115" s="85" t="str">
        <f t="shared" si="2"/>
        <v>IX</v>
      </c>
      <c r="F115" s="84">
        <v>71700.0</v>
      </c>
    </row>
    <row r="116">
      <c r="A116" s="85" t="s">
        <v>403</v>
      </c>
      <c r="B116" s="85" t="s">
        <v>329</v>
      </c>
      <c r="C116" s="87" t="s">
        <v>337</v>
      </c>
      <c r="D116" s="87" t="s">
        <v>404</v>
      </c>
      <c r="E116" s="85" t="str">
        <f t="shared" si="2"/>
        <v>GP</v>
      </c>
      <c r="F116" s="84">
        <v>26800.0</v>
      </c>
    </row>
    <row r="117">
      <c r="A117" s="85" t="s">
        <v>405</v>
      </c>
      <c r="B117" s="85" t="s">
        <v>329</v>
      </c>
      <c r="C117" s="88" t="s">
        <v>334</v>
      </c>
      <c r="D117" s="88" t="s">
        <v>406</v>
      </c>
      <c r="E117" s="85" t="str">
        <f t="shared" si="2"/>
        <v>IX</v>
      </c>
      <c r="F117" s="84">
        <v>71700.0</v>
      </c>
    </row>
    <row r="118">
      <c r="A118" s="89" t="s">
        <v>407</v>
      </c>
      <c r="B118" s="85" t="s">
        <v>329</v>
      </c>
      <c r="C118" s="88" t="s">
        <v>334</v>
      </c>
      <c r="D118" s="90" t="s">
        <v>408</v>
      </c>
      <c r="E118" s="85" t="str">
        <f t="shared" si="2"/>
        <v>IX</v>
      </c>
      <c r="F118" s="84">
        <v>71700.0</v>
      </c>
    </row>
    <row r="119">
      <c r="A119" s="82" t="s">
        <v>409</v>
      </c>
      <c r="B119" s="85" t="s">
        <v>329</v>
      </c>
      <c r="C119" s="87" t="s">
        <v>337</v>
      </c>
      <c r="D119" s="87" t="s">
        <v>410</v>
      </c>
      <c r="E119" s="85" t="str">
        <f t="shared" si="2"/>
        <v>GP</v>
      </c>
      <c r="F119" s="84">
        <v>26800.0</v>
      </c>
    </row>
    <row r="120">
      <c r="A120" s="82" t="s">
        <v>411</v>
      </c>
      <c r="B120" s="85" t="s">
        <v>329</v>
      </c>
      <c r="C120" s="87" t="s">
        <v>337</v>
      </c>
      <c r="D120" s="91" t="s">
        <v>412</v>
      </c>
      <c r="E120" s="85" t="str">
        <f t="shared" si="2"/>
        <v>GP</v>
      </c>
      <c r="F120" s="84">
        <v>26800.0</v>
      </c>
    </row>
    <row r="121">
      <c r="A121" s="85" t="s">
        <v>413</v>
      </c>
      <c r="B121" s="85" t="s">
        <v>329</v>
      </c>
      <c r="C121" s="88" t="s">
        <v>334</v>
      </c>
      <c r="D121" s="90" t="s">
        <v>39</v>
      </c>
      <c r="E121" s="85" t="str">
        <f t="shared" si="2"/>
        <v>IX</v>
      </c>
      <c r="F121" s="84">
        <v>71700.0</v>
      </c>
    </row>
    <row r="122">
      <c r="A122" s="85" t="s">
        <v>414</v>
      </c>
      <c r="B122" s="85" t="s">
        <v>329</v>
      </c>
      <c r="C122" s="87" t="s">
        <v>181</v>
      </c>
      <c r="D122" s="87" t="s">
        <v>415</v>
      </c>
      <c r="E122" s="85" t="str">
        <f t="shared" si="2"/>
        <v>IX</v>
      </c>
      <c r="F122" s="1">
        <v>149000.0</v>
      </c>
    </row>
    <row r="123">
      <c r="A123" s="82" t="s">
        <v>416</v>
      </c>
      <c r="B123" s="85" t="s">
        <v>329</v>
      </c>
      <c r="C123" s="88" t="s">
        <v>337</v>
      </c>
      <c r="D123" s="88" t="s">
        <v>417</v>
      </c>
      <c r="E123" s="85" t="str">
        <f t="shared" si="2"/>
        <v>GP</v>
      </c>
      <c r="F123" s="84">
        <v>26800.0</v>
      </c>
    </row>
    <row r="124">
      <c r="A124" s="82" t="s">
        <v>418</v>
      </c>
      <c r="B124" s="85" t="s">
        <v>329</v>
      </c>
      <c r="C124" s="88" t="s">
        <v>337</v>
      </c>
      <c r="D124" s="90" t="s">
        <v>419</v>
      </c>
      <c r="E124" s="85" t="str">
        <f t="shared" si="2"/>
        <v>GP</v>
      </c>
      <c r="F124" s="84">
        <v>26800.0</v>
      </c>
    </row>
    <row r="125">
      <c r="A125" s="85" t="s">
        <v>420</v>
      </c>
      <c r="B125" s="85" t="s">
        <v>329</v>
      </c>
      <c r="C125" s="87" t="s">
        <v>334</v>
      </c>
      <c r="D125" s="87" t="s">
        <v>38</v>
      </c>
      <c r="E125" s="85" t="str">
        <f t="shared" si="2"/>
        <v>IX</v>
      </c>
      <c r="F125" s="84">
        <v>71700.0</v>
      </c>
    </row>
    <row r="126">
      <c r="A126" s="85" t="s">
        <v>421</v>
      </c>
      <c r="B126" s="85" t="s">
        <v>329</v>
      </c>
      <c r="C126" s="88" t="s">
        <v>334</v>
      </c>
      <c r="D126" s="90" t="s">
        <v>37</v>
      </c>
      <c r="E126" s="85" t="str">
        <f t="shared" si="2"/>
        <v>IX</v>
      </c>
      <c r="F126" s="84">
        <v>71700.0</v>
      </c>
    </row>
    <row r="127">
      <c r="A127" s="85" t="s">
        <v>422</v>
      </c>
      <c r="B127" s="85" t="s">
        <v>329</v>
      </c>
      <c r="C127" s="87" t="s">
        <v>334</v>
      </c>
      <c r="D127" s="87" t="s">
        <v>423</v>
      </c>
      <c r="E127" s="85" t="str">
        <f t="shared" si="2"/>
        <v>IX</v>
      </c>
      <c r="F127" s="84">
        <v>71700.0</v>
      </c>
    </row>
    <row r="128">
      <c r="A128" s="85" t="s">
        <v>424</v>
      </c>
      <c r="B128" s="85" t="s">
        <v>329</v>
      </c>
      <c r="C128" s="88" t="s">
        <v>181</v>
      </c>
      <c r="D128" s="88" t="s">
        <v>425</v>
      </c>
      <c r="E128" s="85" t="str">
        <f t="shared" si="2"/>
        <v>IX</v>
      </c>
      <c r="F128" s="1">
        <v>149000.0</v>
      </c>
    </row>
    <row r="129">
      <c r="A129" s="85" t="s">
        <v>426</v>
      </c>
      <c r="B129" s="85" t="s">
        <v>329</v>
      </c>
      <c r="C129" s="87" t="s">
        <v>334</v>
      </c>
      <c r="D129" s="87" t="s">
        <v>427</v>
      </c>
      <c r="E129" s="85" t="str">
        <f t="shared" si="2"/>
        <v>IX</v>
      </c>
      <c r="F129" s="84">
        <v>71700.0</v>
      </c>
    </row>
    <row r="130">
      <c r="A130" s="85" t="s">
        <v>428</v>
      </c>
      <c r="B130" s="85" t="s">
        <v>329</v>
      </c>
      <c r="C130" s="88" t="s">
        <v>181</v>
      </c>
      <c r="D130" s="88" t="s">
        <v>429</v>
      </c>
      <c r="E130" s="85" t="str">
        <f t="shared" si="2"/>
        <v>IX</v>
      </c>
      <c r="F130" s="1">
        <v>150700.0</v>
      </c>
    </row>
    <row r="131">
      <c r="A131" s="85" t="s">
        <v>430</v>
      </c>
      <c r="B131" s="85" t="s">
        <v>329</v>
      </c>
      <c r="C131" s="87" t="s">
        <v>334</v>
      </c>
      <c r="D131" s="87" t="s">
        <v>431</v>
      </c>
      <c r="E131" s="85" t="str">
        <f t="shared" si="2"/>
        <v>IX</v>
      </c>
      <c r="F131" s="84">
        <v>71700.0</v>
      </c>
    </row>
    <row r="132">
      <c r="A132" s="85" t="s">
        <v>432</v>
      </c>
      <c r="B132" s="85" t="s">
        <v>329</v>
      </c>
      <c r="C132" s="88" t="s">
        <v>334</v>
      </c>
      <c r="D132" s="88" t="s">
        <v>433</v>
      </c>
      <c r="E132" s="85" t="str">
        <f t="shared" si="2"/>
        <v>IX</v>
      </c>
      <c r="F132" s="84">
        <v>71700.0</v>
      </c>
    </row>
    <row r="133">
      <c r="A133" s="85" t="s">
        <v>434</v>
      </c>
      <c r="B133" s="85" t="s">
        <v>329</v>
      </c>
      <c r="C133" s="87" t="s">
        <v>337</v>
      </c>
      <c r="D133" s="87" t="s">
        <v>435</v>
      </c>
      <c r="E133" s="85" t="str">
        <f t="shared" si="2"/>
        <v>GP</v>
      </c>
      <c r="F133" s="84">
        <v>26800.0</v>
      </c>
    </row>
    <row r="134">
      <c r="A134" s="85" t="s">
        <v>436</v>
      </c>
      <c r="B134" s="85" t="s">
        <v>329</v>
      </c>
      <c r="C134" s="88" t="s">
        <v>334</v>
      </c>
      <c r="D134" s="88" t="s">
        <v>437</v>
      </c>
      <c r="E134" s="85" t="str">
        <f t="shared" si="2"/>
        <v>IX</v>
      </c>
      <c r="F134" s="84">
        <v>71700.0</v>
      </c>
    </row>
    <row r="135">
      <c r="A135" s="83" t="s">
        <v>436</v>
      </c>
      <c r="B135" s="85" t="s">
        <v>329</v>
      </c>
      <c r="C135" s="88" t="s">
        <v>334</v>
      </c>
      <c r="D135" s="90" t="s">
        <v>438</v>
      </c>
      <c r="E135" s="85" t="str">
        <f t="shared" si="2"/>
        <v>IX</v>
      </c>
      <c r="F135" s="84">
        <v>71700.0</v>
      </c>
    </row>
    <row r="136">
      <c r="A136" s="85" t="s">
        <v>439</v>
      </c>
      <c r="B136" s="85" t="s">
        <v>329</v>
      </c>
      <c r="C136" s="87" t="s">
        <v>337</v>
      </c>
      <c r="D136" s="91" t="s">
        <v>46</v>
      </c>
      <c r="E136" s="85" t="str">
        <f t="shared" si="2"/>
        <v>GP</v>
      </c>
      <c r="F136" s="84">
        <v>26800.0</v>
      </c>
    </row>
    <row r="137">
      <c r="A137" s="85" t="s">
        <v>440</v>
      </c>
      <c r="B137" s="85" t="s">
        <v>329</v>
      </c>
      <c r="C137" s="88" t="s">
        <v>334</v>
      </c>
      <c r="D137" s="88" t="s">
        <v>441</v>
      </c>
      <c r="E137" s="85" t="str">
        <f t="shared" si="2"/>
        <v>IX</v>
      </c>
      <c r="F137" s="84">
        <v>71700.0</v>
      </c>
    </row>
    <row r="138">
      <c r="A138" s="83" t="s">
        <v>442</v>
      </c>
      <c r="B138" s="83" t="s">
        <v>329</v>
      </c>
      <c r="C138" s="83" t="s">
        <v>181</v>
      </c>
      <c r="D138" s="83" t="s">
        <v>443</v>
      </c>
      <c r="E138" s="83" t="str">
        <f t="shared" si="2"/>
        <v>IX</v>
      </c>
      <c r="F138" s="84">
        <v>150700.0</v>
      </c>
    </row>
    <row r="139">
      <c r="A139" s="85" t="s">
        <v>444</v>
      </c>
      <c r="B139" s="85" t="s">
        <v>329</v>
      </c>
      <c r="C139" s="88" t="s">
        <v>181</v>
      </c>
      <c r="D139" s="88" t="s">
        <v>445</v>
      </c>
      <c r="E139" s="85" t="str">
        <f t="shared" si="2"/>
        <v>IX</v>
      </c>
      <c r="F139" s="84">
        <v>150700.0</v>
      </c>
    </row>
    <row r="140">
      <c r="A140" s="85" t="s">
        <v>446</v>
      </c>
      <c r="B140" s="85" t="s">
        <v>329</v>
      </c>
      <c r="C140" s="87" t="s">
        <v>181</v>
      </c>
      <c r="D140" s="87" t="s">
        <v>447</v>
      </c>
      <c r="E140" s="85" t="str">
        <f t="shared" si="2"/>
        <v>IX</v>
      </c>
      <c r="F140" s="84">
        <v>150700.0</v>
      </c>
    </row>
    <row r="141">
      <c r="A141" s="83" t="s">
        <v>448</v>
      </c>
      <c r="B141" s="85" t="s">
        <v>329</v>
      </c>
      <c r="C141" s="88" t="s">
        <v>181</v>
      </c>
      <c r="D141" s="88" t="s">
        <v>449</v>
      </c>
      <c r="E141" s="85" t="str">
        <f t="shared" si="2"/>
        <v>IX</v>
      </c>
      <c r="F141" s="84">
        <v>183400.0</v>
      </c>
    </row>
    <row r="142">
      <c r="A142" s="85" t="s">
        <v>450</v>
      </c>
      <c r="B142" s="85" t="s">
        <v>329</v>
      </c>
      <c r="C142" s="87" t="s">
        <v>181</v>
      </c>
      <c r="D142" s="87" t="s">
        <v>451</v>
      </c>
      <c r="E142" s="85" t="str">
        <f t="shared" si="2"/>
        <v>IX</v>
      </c>
      <c r="F142" s="84">
        <v>189900.0</v>
      </c>
    </row>
    <row r="143">
      <c r="A143" s="85" t="s">
        <v>452</v>
      </c>
      <c r="B143" s="85" t="s">
        <v>329</v>
      </c>
      <c r="C143" s="88" t="s">
        <v>181</v>
      </c>
      <c r="D143" s="88" t="s">
        <v>453</v>
      </c>
      <c r="E143" s="85" t="str">
        <f t="shared" si="2"/>
        <v>IX</v>
      </c>
      <c r="F143" s="84">
        <v>189900.0</v>
      </c>
    </row>
    <row r="144">
      <c r="A144" s="85" t="s">
        <v>454</v>
      </c>
      <c r="B144" s="85" t="s">
        <v>329</v>
      </c>
      <c r="C144" s="87" t="s">
        <v>181</v>
      </c>
      <c r="D144" s="87" t="s">
        <v>455</v>
      </c>
      <c r="E144" s="85" t="str">
        <f t="shared" si="2"/>
        <v>IX</v>
      </c>
      <c r="F144" s="1">
        <v>178000.0</v>
      </c>
    </row>
    <row r="145">
      <c r="A145" s="82" t="s">
        <v>456</v>
      </c>
      <c r="B145" s="85" t="s">
        <v>329</v>
      </c>
      <c r="C145" s="87" t="s">
        <v>181</v>
      </c>
      <c r="D145" s="82" t="s">
        <v>80</v>
      </c>
      <c r="E145" s="85" t="str">
        <f t="shared" si="2"/>
        <v>IX</v>
      </c>
      <c r="F145" s="6">
        <v>189900.0</v>
      </c>
    </row>
    <row r="146">
      <c r="A146" s="82" t="s">
        <v>457</v>
      </c>
      <c r="B146" s="85" t="s">
        <v>329</v>
      </c>
      <c r="C146" s="87" t="s">
        <v>181</v>
      </c>
      <c r="D146" s="82" t="s">
        <v>81</v>
      </c>
      <c r="E146" s="85" t="str">
        <f t="shared" si="2"/>
        <v>IX</v>
      </c>
      <c r="F146" s="6">
        <v>189900.0</v>
      </c>
    </row>
    <row r="147">
      <c r="A147" s="83" t="s">
        <v>458</v>
      </c>
      <c r="B147" s="85" t="s">
        <v>329</v>
      </c>
      <c r="C147" s="88" t="s">
        <v>181</v>
      </c>
      <c r="D147" s="88" t="s">
        <v>459</v>
      </c>
      <c r="E147" s="85" t="str">
        <f t="shared" si="2"/>
        <v>IX</v>
      </c>
      <c r="F147" s="84">
        <v>179500.0</v>
      </c>
    </row>
    <row r="148">
      <c r="A148" s="85" t="s">
        <v>458</v>
      </c>
      <c r="B148" s="85" t="s">
        <v>329</v>
      </c>
      <c r="C148" s="87" t="s">
        <v>181</v>
      </c>
      <c r="D148" s="87" t="s">
        <v>460</v>
      </c>
      <c r="E148" s="85" t="str">
        <f t="shared" si="2"/>
        <v>IX</v>
      </c>
      <c r="F148" s="84">
        <v>179500.0</v>
      </c>
    </row>
    <row r="149">
      <c r="A149" s="85" t="s">
        <v>461</v>
      </c>
      <c r="B149" s="85" t="s">
        <v>329</v>
      </c>
      <c r="C149" s="88" t="s">
        <v>181</v>
      </c>
      <c r="D149" s="88" t="s">
        <v>462</v>
      </c>
      <c r="E149" s="85" t="str">
        <f t="shared" si="2"/>
        <v>IX</v>
      </c>
      <c r="F149" s="84">
        <v>189900.0</v>
      </c>
    </row>
    <row r="150">
      <c r="A150" s="85" t="s">
        <v>463</v>
      </c>
      <c r="B150" s="85" t="s">
        <v>329</v>
      </c>
      <c r="C150" s="87" t="s">
        <v>181</v>
      </c>
      <c r="D150" s="87" t="s">
        <v>464</v>
      </c>
      <c r="E150" s="85" t="str">
        <f t="shared" si="2"/>
        <v>IX</v>
      </c>
      <c r="F150" s="84">
        <v>179500.0</v>
      </c>
    </row>
    <row r="151">
      <c r="A151" s="85" t="s">
        <v>465</v>
      </c>
      <c r="B151" s="85" t="s">
        <v>329</v>
      </c>
      <c r="C151" s="88" t="s">
        <v>181</v>
      </c>
      <c r="D151" s="88" t="s">
        <v>466</v>
      </c>
      <c r="E151" s="85" t="str">
        <f t="shared" si="2"/>
        <v>IX</v>
      </c>
      <c r="F151" s="84">
        <v>150700.0</v>
      </c>
    </row>
    <row r="152">
      <c r="A152" s="85" t="s">
        <v>467</v>
      </c>
      <c r="B152" s="85" t="s">
        <v>329</v>
      </c>
      <c r="C152" s="87" t="s">
        <v>330</v>
      </c>
      <c r="D152" s="87" t="s">
        <v>468</v>
      </c>
      <c r="E152" s="85" t="str">
        <f t="shared" si="2"/>
        <v>IX</v>
      </c>
      <c r="F152" s="1">
        <v>539000.0</v>
      </c>
    </row>
    <row r="153">
      <c r="A153" s="85" t="s">
        <v>469</v>
      </c>
      <c r="B153" s="85" t="s">
        <v>329</v>
      </c>
      <c r="C153" s="88" t="s">
        <v>330</v>
      </c>
      <c r="D153" s="88" t="s">
        <v>470</v>
      </c>
      <c r="E153" s="85" t="str">
        <f t="shared" si="2"/>
        <v>IX</v>
      </c>
      <c r="F153" s="1">
        <v>390000.0</v>
      </c>
    </row>
    <row r="154">
      <c r="A154" s="85" t="s">
        <v>471</v>
      </c>
      <c r="B154" s="85" t="s">
        <v>329</v>
      </c>
      <c r="C154" s="87" t="s">
        <v>330</v>
      </c>
      <c r="D154" s="87" t="s">
        <v>472</v>
      </c>
      <c r="E154" s="85" t="str">
        <f t="shared" si="2"/>
        <v>IX</v>
      </c>
      <c r="F154" s="1">
        <v>390000.0</v>
      </c>
    </row>
    <row r="155">
      <c r="A155" s="85" t="s">
        <v>473</v>
      </c>
      <c r="B155" s="85" t="s">
        <v>329</v>
      </c>
      <c r="C155" s="88" t="s">
        <v>330</v>
      </c>
      <c r="D155" s="88" t="s">
        <v>474</v>
      </c>
      <c r="E155" s="85" t="str">
        <f t="shared" si="2"/>
        <v>IX</v>
      </c>
      <c r="F155" s="1">
        <v>390000.0</v>
      </c>
    </row>
    <row r="156">
      <c r="A156" s="85" t="s">
        <v>475</v>
      </c>
      <c r="B156" s="85" t="s">
        <v>329</v>
      </c>
      <c r="C156" s="87" t="s">
        <v>330</v>
      </c>
      <c r="D156" s="87" t="s">
        <v>476</v>
      </c>
      <c r="E156" s="85" t="str">
        <f t="shared" si="2"/>
        <v>IX</v>
      </c>
      <c r="F156" s="1">
        <v>403000.0</v>
      </c>
    </row>
    <row r="157">
      <c r="A157" s="85" t="s">
        <v>477</v>
      </c>
      <c r="B157" s="85" t="s">
        <v>329</v>
      </c>
      <c r="C157" s="88" t="s">
        <v>330</v>
      </c>
      <c r="D157" s="88" t="s">
        <v>478</v>
      </c>
      <c r="E157" s="85" t="str">
        <f t="shared" si="2"/>
        <v>IX</v>
      </c>
      <c r="F157" s="1">
        <v>583000.0</v>
      </c>
    </row>
    <row r="158">
      <c r="A158" s="85" t="s">
        <v>479</v>
      </c>
      <c r="B158" s="85" t="s">
        <v>329</v>
      </c>
      <c r="C158" s="87" t="s">
        <v>330</v>
      </c>
      <c r="D158" s="87" t="s">
        <v>480</v>
      </c>
      <c r="E158" s="85" t="str">
        <f t="shared" si="2"/>
        <v>IX</v>
      </c>
      <c r="F158" s="1">
        <v>372000.0</v>
      </c>
    </row>
    <row r="159">
      <c r="A159" s="85" t="s">
        <v>481</v>
      </c>
      <c r="B159" s="85" t="s">
        <v>329</v>
      </c>
      <c r="C159" s="88" t="s">
        <v>330</v>
      </c>
      <c r="D159" s="88" t="s">
        <v>482</v>
      </c>
      <c r="E159" s="85" t="str">
        <f t="shared" si="2"/>
        <v>IX</v>
      </c>
      <c r="F159" s="1">
        <v>372000.0</v>
      </c>
    </row>
    <row r="160">
      <c r="A160" s="85" t="s">
        <v>483</v>
      </c>
      <c r="B160" s="85" t="s">
        <v>329</v>
      </c>
      <c r="C160" s="87" t="s">
        <v>181</v>
      </c>
      <c r="D160" s="87" t="s">
        <v>484</v>
      </c>
      <c r="E160" s="85" t="str">
        <f t="shared" si="2"/>
        <v>IX</v>
      </c>
      <c r="F160" s="1">
        <v>150700.0</v>
      </c>
    </row>
    <row r="161">
      <c r="A161" s="85" t="s">
        <v>485</v>
      </c>
      <c r="B161" s="85" t="s">
        <v>329</v>
      </c>
      <c r="C161" s="88" t="s">
        <v>181</v>
      </c>
      <c r="D161" s="88" t="s">
        <v>486</v>
      </c>
      <c r="E161" s="85" t="str">
        <f t="shared" si="2"/>
        <v>IX</v>
      </c>
      <c r="F161" s="84">
        <v>161200.0</v>
      </c>
    </row>
    <row r="162">
      <c r="A162" s="85" t="s">
        <v>487</v>
      </c>
      <c r="B162" s="85" t="s">
        <v>329</v>
      </c>
      <c r="C162" s="87" t="s">
        <v>181</v>
      </c>
      <c r="D162" s="87" t="s">
        <v>488</v>
      </c>
      <c r="E162" s="85" t="str">
        <f t="shared" si="2"/>
        <v>IX</v>
      </c>
      <c r="F162" s="84">
        <v>150700.0</v>
      </c>
    </row>
    <row r="163">
      <c r="A163" s="85" t="s">
        <v>489</v>
      </c>
      <c r="B163" s="85" t="s">
        <v>329</v>
      </c>
      <c r="C163" s="88" t="s">
        <v>181</v>
      </c>
      <c r="D163" s="88" t="s">
        <v>490</v>
      </c>
      <c r="E163" s="85" t="str">
        <f t="shared" si="2"/>
        <v>IX</v>
      </c>
      <c r="F163" s="84">
        <v>150700.0</v>
      </c>
    </row>
    <row r="164">
      <c r="A164" s="85" t="s">
        <v>491</v>
      </c>
      <c r="B164" s="85" t="s">
        <v>329</v>
      </c>
      <c r="C164" s="87" t="s">
        <v>181</v>
      </c>
      <c r="D164" s="87" t="s">
        <v>492</v>
      </c>
      <c r="E164" s="85" t="str">
        <f t="shared" si="2"/>
        <v>IX</v>
      </c>
      <c r="F164" s="84">
        <v>161200.0</v>
      </c>
    </row>
    <row r="165">
      <c r="A165" s="89" t="s">
        <v>493</v>
      </c>
      <c r="B165" s="85" t="s">
        <v>329</v>
      </c>
      <c r="C165" s="87" t="s">
        <v>181</v>
      </c>
      <c r="D165" s="91" t="s">
        <v>494</v>
      </c>
      <c r="E165" s="85" t="str">
        <f t="shared" si="2"/>
        <v>IX</v>
      </c>
      <c r="F165" s="84">
        <v>161200.0</v>
      </c>
    </row>
    <row r="166">
      <c r="A166" s="85" t="s">
        <v>495</v>
      </c>
      <c r="B166" s="85" t="s">
        <v>329</v>
      </c>
      <c r="C166" s="88" t="s">
        <v>181</v>
      </c>
      <c r="D166" s="88" t="s">
        <v>496</v>
      </c>
      <c r="E166" s="85" t="str">
        <f t="shared" si="2"/>
        <v>IX</v>
      </c>
      <c r="F166" s="84">
        <v>150700.0</v>
      </c>
    </row>
    <row r="167">
      <c r="A167" s="85" t="s">
        <v>497</v>
      </c>
      <c r="B167" s="85" t="s">
        <v>329</v>
      </c>
      <c r="C167" s="87" t="s">
        <v>181</v>
      </c>
      <c r="D167" s="87" t="s">
        <v>498</v>
      </c>
      <c r="E167" s="85" t="str">
        <f t="shared" si="2"/>
        <v>IX</v>
      </c>
      <c r="F167" s="84">
        <v>150700.0</v>
      </c>
    </row>
    <row r="168">
      <c r="A168" s="85" t="s">
        <v>499</v>
      </c>
      <c r="B168" s="85" t="s">
        <v>329</v>
      </c>
      <c r="C168" s="88" t="s">
        <v>330</v>
      </c>
      <c r="D168" s="88" t="s">
        <v>500</v>
      </c>
      <c r="E168" s="85" t="str">
        <f t="shared" si="2"/>
        <v>IX</v>
      </c>
      <c r="F168" s="1">
        <v>583000.0</v>
      </c>
    </row>
    <row r="169">
      <c r="A169" s="85" t="s">
        <v>501</v>
      </c>
      <c r="B169" s="85" t="s">
        <v>329</v>
      </c>
      <c r="C169" s="87" t="s">
        <v>330</v>
      </c>
      <c r="D169" s="87" t="s">
        <v>502</v>
      </c>
      <c r="E169" s="85" t="str">
        <f t="shared" si="2"/>
        <v>IX</v>
      </c>
      <c r="F169" s="1">
        <v>285000.0</v>
      </c>
    </row>
    <row r="170">
      <c r="A170" s="85" t="s">
        <v>864</v>
      </c>
      <c r="B170" s="85" t="s">
        <v>865</v>
      </c>
      <c r="C170" s="87" t="s">
        <v>865</v>
      </c>
      <c r="D170" s="87" t="s">
        <v>866</v>
      </c>
      <c r="E170" s="85" t="str">
        <f t="shared" si="2"/>
        <v>NONE</v>
      </c>
    </row>
    <row r="171">
      <c r="A171" s="85" t="s">
        <v>867</v>
      </c>
      <c r="B171" s="85" t="s">
        <v>868</v>
      </c>
      <c r="C171" s="88" t="s">
        <v>865</v>
      </c>
      <c r="D171" s="88" t="s">
        <v>869</v>
      </c>
      <c r="E171" s="85" t="str">
        <f t="shared" si="2"/>
        <v>NONE</v>
      </c>
    </row>
    <row r="172">
      <c r="A172" s="85" t="s">
        <v>870</v>
      </c>
      <c r="B172" s="85" t="s">
        <v>868</v>
      </c>
      <c r="C172" s="87" t="s">
        <v>865</v>
      </c>
      <c r="D172" s="87" t="s">
        <v>871</v>
      </c>
      <c r="E172" s="85" t="str">
        <f t="shared" si="2"/>
        <v>NONE</v>
      </c>
    </row>
    <row r="173">
      <c r="A173" s="85" t="s">
        <v>872</v>
      </c>
      <c r="B173" s="85" t="s">
        <v>868</v>
      </c>
      <c r="C173" s="88" t="s">
        <v>865</v>
      </c>
      <c r="D173" s="88" t="s">
        <v>873</v>
      </c>
      <c r="E173" s="85" t="str">
        <f t="shared" si="2"/>
        <v>NONE</v>
      </c>
    </row>
    <row r="174">
      <c r="A174" s="85" t="s">
        <v>874</v>
      </c>
      <c r="B174" s="85" t="s">
        <v>868</v>
      </c>
      <c r="C174" s="87" t="s">
        <v>865</v>
      </c>
      <c r="D174" s="87" t="s">
        <v>875</v>
      </c>
      <c r="E174" s="85" t="str">
        <f t="shared" si="2"/>
        <v>NONE</v>
      </c>
    </row>
    <row r="175">
      <c r="A175" s="85" t="s">
        <v>876</v>
      </c>
      <c r="B175" s="85" t="s">
        <v>868</v>
      </c>
      <c r="C175" s="88" t="s">
        <v>865</v>
      </c>
      <c r="D175" s="88" t="s">
        <v>877</v>
      </c>
      <c r="E175" s="85" t="str">
        <f t="shared" si="2"/>
        <v>NONE</v>
      </c>
    </row>
    <row r="176">
      <c r="A176" s="85" t="s">
        <v>878</v>
      </c>
      <c r="B176" s="85" t="s">
        <v>868</v>
      </c>
      <c r="C176" s="87" t="s">
        <v>865</v>
      </c>
      <c r="D176" s="87" t="s">
        <v>879</v>
      </c>
      <c r="E176" s="85" t="str">
        <f t="shared" si="2"/>
        <v>NONE</v>
      </c>
    </row>
    <row r="177">
      <c r="A177" s="85" t="s">
        <v>880</v>
      </c>
      <c r="B177" s="85" t="s">
        <v>868</v>
      </c>
      <c r="C177" s="88" t="s">
        <v>865</v>
      </c>
      <c r="D177" s="88" t="s">
        <v>881</v>
      </c>
      <c r="E177" s="85" t="str">
        <f t="shared" si="2"/>
        <v>NONE</v>
      </c>
    </row>
    <row r="178">
      <c r="A178" s="85" t="s">
        <v>882</v>
      </c>
      <c r="B178" s="85" t="s">
        <v>868</v>
      </c>
      <c r="C178" s="87" t="s">
        <v>865</v>
      </c>
      <c r="D178" s="87" t="s">
        <v>883</v>
      </c>
      <c r="E178" s="85" t="str">
        <f t="shared" si="2"/>
        <v>NONE</v>
      </c>
    </row>
    <row r="179">
      <c r="A179" s="85" t="s">
        <v>884</v>
      </c>
      <c r="B179" s="85" t="s">
        <v>868</v>
      </c>
      <c r="C179" s="88" t="s">
        <v>865</v>
      </c>
      <c r="D179" s="88" t="s">
        <v>885</v>
      </c>
      <c r="E179" s="85" t="str">
        <f t="shared" si="2"/>
        <v>NONE</v>
      </c>
    </row>
    <row r="180">
      <c r="A180" s="85" t="s">
        <v>886</v>
      </c>
      <c r="B180" s="85" t="s">
        <v>868</v>
      </c>
      <c r="C180" s="87" t="s">
        <v>865</v>
      </c>
      <c r="D180" s="87" t="s">
        <v>887</v>
      </c>
      <c r="E180" s="85" t="str">
        <f t="shared" si="2"/>
        <v>NONE</v>
      </c>
    </row>
    <row r="181">
      <c r="A181" s="85" t="s">
        <v>888</v>
      </c>
      <c r="B181" s="85" t="s">
        <v>868</v>
      </c>
      <c r="C181" s="88" t="s">
        <v>865</v>
      </c>
      <c r="D181" s="88" t="s">
        <v>889</v>
      </c>
      <c r="E181" s="85" t="str">
        <f t="shared" si="2"/>
        <v>NONE</v>
      </c>
    </row>
    <row r="182">
      <c r="A182" s="85" t="s">
        <v>890</v>
      </c>
      <c r="B182" s="85" t="s">
        <v>868</v>
      </c>
      <c r="C182" s="87" t="s">
        <v>865</v>
      </c>
      <c r="D182" s="87" t="s">
        <v>891</v>
      </c>
      <c r="E182" s="85" t="str">
        <f t="shared" si="2"/>
        <v>NONE</v>
      </c>
    </row>
    <row r="183">
      <c r="A183" s="85" t="s">
        <v>892</v>
      </c>
      <c r="B183" s="85" t="s">
        <v>868</v>
      </c>
      <c r="C183" s="88" t="s">
        <v>865</v>
      </c>
      <c r="D183" s="88" t="s">
        <v>893</v>
      </c>
      <c r="E183" s="85" t="str">
        <f t="shared" si="2"/>
        <v>NONE</v>
      </c>
    </row>
    <row r="184">
      <c r="A184" s="85" t="s">
        <v>894</v>
      </c>
      <c r="B184" s="85" t="s">
        <v>868</v>
      </c>
      <c r="C184" s="87" t="s">
        <v>865</v>
      </c>
      <c r="D184" s="87" t="s">
        <v>895</v>
      </c>
      <c r="E184" s="85" t="str">
        <f t="shared" si="2"/>
        <v>NONE</v>
      </c>
    </row>
    <row r="185">
      <c r="A185" s="85" t="s">
        <v>896</v>
      </c>
      <c r="B185" s="85" t="s">
        <v>868</v>
      </c>
      <c r="C185" s="88" t="s">
        <v>865</v>
      </c>
      <c r="D185" s="88" t="s">
        <v>897</v>
      </c>
      <c r="E185" s="85" t="str">
        <f t="shared" si="2"/>
        <v>NONE</v>
      </c>
    </row>
    <row r="186">
      <c r="A186" s="85" t="s">
        <v>898</v>
      </c>
      <c r="B186" s="85" t="s">
        <v>868</v>
      </c>
      <c r="C186" s="87" t="s">
        <v>865</v>
      </c>
      <c r="D186" s="87" t="s">
        <v>899</v>
      </c>
      <c r="E186" s="85" t="str">
        <f t="shared" si="2"/>
        <v>NONE</v>
      </c>
    </row>
    <row r="187">
      <c r="A187" s="85" t="s">
        <v>900</v>
      </c>
      <c r="B187" s="85" t="s">
        <v>868</v>
      </c>
      <c r="C187" s="88" t="s">
        <v>865</v>
      </c>
      <c r="D187" s="88" t="s">
        <v>901</v>
      </c>
      <c r="E187" s="85" t="str">
        <f t="shared" si="2"/>
        <v>NONE</v>
      </c>
    </row>
    <row r="188">
      <c r="A188" s="101" t="s">
        <v>902</v>
      </c>
      <c r="B188" s="1" t="s">
        <v>903</v>
      </c>
      <c r="C188" s="1" t="s">
        <v>865</v>
      </c>
      <c r="D188" s="1" t="s">
        <v>904</v>
      </c>
      <c r="E188" s="89" t="s">
        <v>865</v>
      </c>
      <c r="F188" s="1">
        <v>141000.0</v>
      </c>
    </row>
    <row r="189">
      <c r="A189" s="101" t="s">
        <v>905</v>
      </c>
      <c r="B189" s="1" t="s">
        <v>903</v>
      </c>
      <c r="C189" s="1" t="s">
        <v>865</v>
      </c>
      <c r="D189" s="1" t="s">
        <v>906</v>
      </c>
      <c r="E189" s="89" t="s">
        <v>865</v>
      </c>
      <c r="F189" s="1">
        <v>117000.0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8.38"/>
    <col customWidth="1" min="3" max="3" width="7.63"/>
    <col customWidth="1" min="4" max="4" width="15.75"/>
    <col customWidth="1" min="5" max="5" width="14.38"/>
  </cols>
  <sheetData>
    <row r="1">
      <c r="A1" s="80" t="s">
        <v>182</v>
      </c>
      <c r="B1" s="80" t="s">
        <v>174</v>
      </c>
      <c r="C1" s="80" t="s">
        <v>175</v>
      </c>
      <c r="D1" s="80" t="s">
        <v>176</v>
      </c>
      <c r="E1" s="81" t="s">
        <v>183</v>
      </c>
      <c r="F1" s="1" t="s">
        <v>1142</v>
      </c>
    </row>
    <row r="2">
      <c r="A2" s="85" t="s">
        <v>503</v>
      </c>
      <c r="B2" s="85" t="s">
        <v>504</v>
      </c>
      <c r="C2" s="88" t="s">
        <v>186</v>
      </c>
      <c r="D2" s="88" t="s">
        <v>505</v>
      </c>
      <c r="E2" s="85" t="str">
        <f t="shared" ref="E2:E65" si="1">if(C2="YL","Ni",if(C2="GP","GP",if(C2="RACING","IX",if(C2="IL","IX",if(C2="IX","IX",if(C2="PL","IX","NONE"))))))</f>
        <v>Ni</v>
      </c>
      <c r="F2" s="84">
        <v>15900.0</v>
      </c>
    </row>
    <row r="3">
      <c r="A3" s="85" t="s">
        <v>506</v>
      </c>
      <c r="B3" s="85" t="s">
        <v>504</v>
      </c>
      <c r="C3" s="87" t="s">
        <v>186</v>
      </c>
      <c r="D3" s="87" t="s">
        <v>507</v>
      </c>
      <c r="E3" s="85" t="str">
        <f t="shared" si="1"/>
        <v>Ni</v>
      </c>
      <c r="F3" s="84">
        <v>15900.0</v>
      </c>
    </row>
    <row r="4">
      <c r="A4" s="85" t="s">
        <v>508</v>
      </c>
      <c r="B4" s="85" t="s">
        <v>504</v>
      </c>
      <c r="C4" s="88" t="s">
        <v>186</v>
      </c>
      <c r="D4" s="88" t="s">
        <v>509</v>
      </c>
      <c r="E4" s="85" t="str">
        <f t="shared" si="1"/>
        <v>Ni</v>
      </c>
      <c r="F4" s="84">
        <v>43750.0</v>
      </c>
    </row>
    <row r="5">
      <c r="A5" s="89" t="s">
        <v>510</v>
      </c>
      <c r="B5" s="85" t="s">
        <v>504</v>
      </c>
      <c r="C5" s="88" t="s">
        <v>186</v>
      </c>
      <c r="D5" s="90" t="s">
        <v>511</v>
      </c>
      <c r="E5" s="85" t="str">
        <f t="shared" si="1"/>
        <v>Ni</v>
      </c>
      <c r="F5" s="84">
        <v>43750.0</v>
      </c>
    </row>
    <row r="6">
      <c r="A6" s="85" t="s">
        <v>512</v>
      </c>
      <c r="B6" s="85" t="s">
        <v>504</v>
      </c>
      <c r="C6" s="87" t="s">
        <v>186</v>
      </c>
      <c r="D6" s="87" t="s">
        <v>513</v>
      </c>
      <c r="E6" s="85" t="str">
        <f t="shared" si="1"/>
        <v>Ni</v>
      </c>
      <c r="F6" s="84">
        <v>15900.0</v>
      </c>
    </row>
    <row r="7">
      <c r="A7" s="85" t="s">
        <v>514</v>
      </c>
      <c r="B7" s="85" t="s">
        <v>504</v>
      </c>
      <c r="C7" s="88" t="s">
        <v>186</v>
      </c>
      <c r="D7" s="88" t="s">
        <v>515</v>
      </c>
      <c r="E7" s="85" t="str">
        <f t="shared" si="1"/>
        <v>Ni</v>
      </c>
      <c r="F7" s="84">
        <v>12500.0</v>
      </c>
    </row>
    <row r="8">
      <c r="A8" s="85" t="s">
        <v>516</v>
      </c>
      <c r="B8" s="85" t="s">
        <v>504</v>
      </c>
      <c r="C8" s="87" t="s">
        <v>186</v>
      </c>
      <c r="D8" s="87" t="s">
        <v>517</v>
      </c>
      <c r="E8" s="85" t="str">
        <f t="shared" si="1"/>
        <v>Ni</v>
      </c>
      <c r="F8" s="84">
        <v>13200.0</v>
      </c>
    </row>
    <row r="9">
      <c r="A9" s="85" t="s">
        <v>518</v>
      </c>
      <c r="B9" s="85" t="s">
        <v>504</v>
      </c>
      <c r="C9" s="88" t="s">
        <v>186</v>
      </c>
      <c r="D9" s="88" t="s">
        <v>519</v>
      </c>
      <c r="E9" s="85" t="str">
        <f t="shared" si="1"/>
        <v>Ni</v>
      </c>
      <c r="F9" s="84">
        <v>13200.0</v>
      </c>
    </row>
    <row r="10">
      <c r="A10" s="85" t="s">
        <v>520</v>
      </c>
      <c r="B10" s="85" t="s">
        <v>504</v>
      </c>
      <c r="C10" s="87" t="s">
        <v>186</v>
      </c>
      <c r="D10" s="87" t="s">
        <v>521</v>
      </c>
      <c r="E10" s="85" t="str">
        <f t="shared" si="1"/>
        <v>Ni</v>
      </c>
      <c r="F10" s="84">
        <v>13200.0</v>
      </c>
    </row>
    <row r="11">
      <c r="A11" s="85" t="s">
        <v>522</v>
      </c>
      <c r="B11" s="85" t="s">
        <v>504</v>
      </c>
      <c r="C11" s="88" t="s">
        <v>186</v>
      </c>
      <c r="D11" s="88" t="s">
        <v>523</v>
      </c>
      <c r="E11" s="85" t="str">
        <f t="shared" si="1"/>
        <v>Ni</v>
      </c>
      <c r="F11" s="84">
        <v>13200.0</v>
      </c>
    </row>
    <row r="12">
      <c r="A12" s="85" t="s">
        <v>524</v>
      </c>
      <c r="B12" s="85" t="s">
        <v>504</v>
      </c>
      <c r="C12" s="87" t="s">
        <v>186</v>
      </c>
      <c r="D12" s="87" t="s">
        <v>525</v>
      </c>
      <c r="E12" s="85" t="str">
        <f t="shared" si="1"/>
        <v>Ni</v>
      </c>
      <c r="F12" s="84">
        <v>13200.0</v>
      </c>
    </row>
    <row r="13">
      <c r="A13" s="85" t="s">
        <v>526</v>
      </c>
      <c r="B13" s="85" t="s">
        <v>504</v>
      </c>
      <c r="C13" s="88" t="s">
        <v>186</v>
      </c>
      <c r="D13" s="88" t="s">
        <v>527</v>
      </c>
      <c r="E13" s="85" t="str">
        <f t="shared" si="1"/>
        <v>Ni</v>
      </c>
      <c r="F13" s="84">
        <v>15900.0</v>
      </c>
    </row>
    <row r="14">
      <c r="A14" s="85" t="s">
        <v>528</v>
      </c>
      <c r="B14" s="85" t="s">
        <v>504</v>
      </c>
      <c r="C14" s="87" t="s">
        <v>186</v>
      </c>
      <c r="D14" s="87" t="s">
        <v>529</v>
      </c>
      <c r="E14" s="85" t="str">
        <f t="shared" si="1"/>
        <v>Ni</v>
      </c>
      <c r="F14" s="84">
        <v>13200.0</v>
      </c>
    </row>
    <row r="15">
      <c r="A15" s="85" t="s">
        <v>530</v>
      </c>
      <c r="B15" s="85" t="s">
        <v>504</v>
      </c>
      <c r="C15" s="88" t="s">
        <v>186</v>
      </c>
      <c r="D15" s="88" t="s">
        <v>531</v>
      </c>
      <c r="E15" s="85" t="str">
        <f t="shared" si="1"/>
        <v>Ni</v>
      </c>
      <c r="F15" s="84">
        <v>13200.0</v>
      </c>
    </row>
    <row r="16">
      <c r="A16" s="85" t="s">
        <v>532</v>
      </c>
      <c r="B16" s="85" t="s">
        <v>504</v>
      </c>
      <c r="C16" s="87" t="s">
        <v>186</v>
      </c>
      <c r="D16" s="87" t="s">
        <v>533</v>
      </c>
      <c r="E16" s="85" t="str">
        <f t="shared" si="1"/>
        <v>Ni</v>
      </c>
      <c r="F16" s="84">
        <v>49000.0</v>
      </c>
    </row>
    <row r="17">
      <c r="A17" s="82" t="s">
        <v>534</v>
      </c>
      <c r="B17" s="82" t="s">
        <v>74</v>
      </c>
      <c r="C17" s="82" t="s">
        <v>535</v>
      </c>
      <c r="D17" s="82" t="s">
        <v>22</v>
      </c>
      <c r="E17" s="95" t="str">
        <f t="shared" si="1"/>
        <v>IX</v>
      </c>
      <c r="F17" s="84">
        <v>114500.0</v>
      </c>
    </row>
    <row r="18">
      <c r="A18" s="85" t="s">
        <v>536</v>
      </c>
      <c r="B18" s="85" t="s">
        <v>504</v>
      </c>
      <c r="C18" s="88" t="s">
        <v>186</v>
      </c>
      <c r="D18" s="88" t="s">
        <v>537</v>
      </c>
      <c r="E18" s="85" t="str">
        <f t="shared" si="1"/>
        <v>Ni</v>
      </c>
      <c r="F18" s="84">
        <v>49000.0</v>
      </c>
    </row>
    <row r="19">
      <c r="A19" s="85" t="s">
        <v>538</v>
      </c>
      <c r="B19" s="85" t="s">
        <v>504</v>
      </c>
      <c r="C19" s="87" t="s">
        <v>186</v>
      </c>
      <c r="D19" s="87" t="s">
        <v>539</v>
      </c>
      <c r="E19" s="85" t="str">
        <f t="shared" si="1"/>
        <v>Ni</v>
      </c>
      <c r="F19" s="84">
        <v>15900.0</v>
      </c>
    </row>
    <row r="20">
      <c r="A20" s="83" t="s">
        <v>540</v>
      </c>
      <c r="B20" s="83" t="s">
        <v>504</v>
      </c>
      <c r="C20" s="83" t="s">
        <v>186</v>
      </c>
      <c r="D20" s="83" t="s">
        <v>541</v>
      </c>
      <c r="E20" s="83" t="str">
        <f t="shared" si="1"/>
        <v>Ni</v>
      </c>
      <c r="F20" s="84">
        <v>12500.0</v>
      </c>
    </row>
    <row r="21">
      <c r="A21" s="85" t="s">
        <v>542</v>
      </c>
      <c r="B21" s="85" t="s">
        <v>504</v>
      </c>
      <c r="C21" s="87" t="s">
        <v>186</v>
      </c>
      <c r="D21" s="87" t="s">
        <v>543</v>
      </c>
      <c r="E21" s="85" t="str">
        <f t="shared" si="1"/>
        <v>Ni</v>
      </c>
      <c r="F21" s="84">
        <v>15900.0</v>
      </c>
    </row>
    <row r="22">
      <c r="A22" s="85" t="s">
        <v>544</v>
      </c>
      <c r="B22" s="85" t="s">
        <v>504</v>
      </c>
      <c r="C22" s="88" t="s">
        <v>186</v>
      </c>
      <c r="D22" s="88" t="s">
        <v>545</v>
      </c>
      <c r="E22" s="85" t="str">
        <f t="shared" si="1"/>
        <v>Ni</v>
      </c>
      <c r="F22" s="84">
        <v>12700.0</v>
      </c>
    </row>
    <row r="23">
      <c r="A23" s="85" t="s">
        <v>546</v>
      </c>
      <c r="B23" s="85" t="s">
        <v>504</v>
      </c>
      <c r="C23" s="87" t="s">
        <v>186</v>
      </c>
      <c r="D23" s="87" t="s">
        <v>547</v>
      </c>
      <c r="E23" s="85" t="str">
        <f t="shared" si="1"/>
        <v>Ni</v>
      </c>
      <c r="F23" s="84">
        <v>12500.0</v>
      </c>
    </row>
    <row r="24">
      <c r="A24" s="85" t="s">
        <v>548</v>
      </c>
      <c r="B24" s="85" t="s">
        <v>504</v>
      </c>
      <c r="C24" s="88" t="s">
        <v>186</v>
      </c>
      <c r="D24" s="88" t="s">
        <v>549</v>
      </c>
      <c r="E24" s="85" t="str">
        <f t="shared" si="1"/>
        <v>Ni</v>
      </c>
      <c r="F24" s="84">
        <v>15900.0</v>
      </c>
    </row>
    <row r="25">
      <c r="A25" s="85" t="s">
        <v>550</v>
      </c>
      <c r="B25" s="85" t="s">
        <v>504</v>
      </c>
      <c r="C25" s="87" t="s">
        <v>186</v>
      </c>
      <c r="D25" s="87" t="s">
        <v>551</v>
      </c>
      <c r="E25" s="85" t="str">
        <f t="shared" si="1"/>
        <v>Ni</v>
      </c>
      <c r="F25" s="84">
        <v>15900.0</v>
      </c>
    </row>
    <row r="26">
      <c r="A26" s="85" t="s">
        <v>552</v>
      </c>
      <c r="B26" s="85" t="s">
        <v>504</v>
      </c>
      <c r="C26" s="88" t="s">
        <v>186</v>
      </c>
      <c r="D26" s="88" t="s">
        <v>553</v>
      </c>
      <c r="E26" s="85" t="str">
        <f t="shared" si="1"/>
        <v>Ni</v>
      </c>
      <c r="F26" s="84">
        <v>12500.0</v>
      </c>
    </row>
    <row r="27">
      <c r="A27" s="85" t="s">
        <v>554</v>
      </c>
      <c r="B27" s="85" t="s">
        <v>504</v>
      </c>
      <c r="C27" s="87" t="s">
        <v>186</v>
      </c>
      <c r="D27" s="87" t="s">
        <v>555</v>
      </c>
      <c r="E27" s="85" t="str">
        <f t="shared" si="1"/>
        <v>Ni</v>
      </c>
      <c r="F27" s="84">
        <v>15900.0</v>
      </c>
    </row>
    <row r="28">
      <c r="A28" s="85" t="s">
        <v>556</v>
      </c>
      <c r="B28" s="85" t="s">
        <v>504</v>
      </c>
      <c r="C28" s="88" t="s">
        <v>186</v>
      </c>
      <c r="D28" s="88" t="s">
        <v>557</v>
      </c>
      <c r="E28" s="85" t="str">
        <f t="shared" si="1"/>
        <v>Ni</v>
      </c>
      <c r="F28" s="84">
        <v>12500.0</v>
      </c>
    </row>
    <row r="29">
      <c r="A29" s="83" t="s">
        <v>558</v>
      </c>
      <c r="B29" s="83" t="s">
        <v>504</v>
      </c>
      <c r="C29" s="83" t="s">
        <v>186</v>
      </c>
      <c r="D29" s="83" t="s">
        <v>559</v>
      </c>
      <c r="E29" s="83" t="str">
        <f t="shared" si="1"/>
        <v>Ni</v>
      </c>
      <c r="F29" s="84">
        <v>12500.0</v>
      </c>
    </row>
    <row r="30">
      <c r="A30" s="85" t="s">
        <v>560</v>
      </c>
      <c r="B30" s="85" t="s">
        <v>504</v>
      </c>
      <c r="C30" s="88" t="s">
        <v>186</v>
      </c>
      <c r="D30" s="88" t="s">
        <v>561</v>
      </c>
      <c r="E30" s="85" t="str">
        <f t="shared" si="1"/>
        <v>Ni</v>
      </c>
      <c r="F30" s="84">
        <v>12500.0</v>
      </c>
    </row>
    <row r="31">
      <c r="A31" s="85" t="s">
        <v>562</v>
      </c>
      <c r="B31" s="85" t="s">
        <v>504</v>
      </c>
      <c r="C31" s="87" t="s">
        <v>186</v>
      </c>
      <c r="D31" s="87" t="s">
        <v>563</v>
      </c>
      <c r="E31" s="85" t="str">
        <f t="shared" si="1"/>
        <v>Ni</v>
      </c>
      <c r="F31" s="84">
        <v>12500.0</v>
      </c>
    </row>
    <row r="32">
      <c r="A32" s="85" t="s">
        <v>564</v>
      </c>
      <c r="B32" s="85" t="s">
        <v>504</v>
      </c>
      <c r="C32" s="88" t="s">
        <v>186</v>
      </c>
      <c r="D32" s="88" t="s">
        <v>565</v>
      </c>
      <c r="E32" s="85" t="str">
        <f t="shared" si="1"/>
        <v>Ni</v>
      </c>
      <c r="F32" s="84">
        <v>12500.0</v>
      </c>
    </row>
    <row r="33">
      <c r="A33" s="85" t="s">
        <v>566</v>
      </c>
      <c r="B33" s="85" t="s">
        <v>504</v>
      </c>
      <c r="C33" s="87" t="s">
        <v>186</v>
      </c>
      <c r="D33" s="87" t="s">
        <v>567</v>
      </c>
      <c r="E33" s="85" t="str">
        <f t="shared" si="1"/>
        <v>Ni</v>
      </c>
      <c r="F33" s="84">
        <v>12500.0</v>
      </c>
    </row>
    <row r="34">
      <c r="A34" s="85" t="s">
        <v>568</v>
      </c>
      <c r="B34" s="85" t="s">
        <v>504</v>
      </c>
      <c r="C34" s="88" t="s">
        <v>186</v>
      </c>
      <c r="D34" s="88" t="s">
        <v>569</v>
      </c>
      <c r="E34" s="85" t="str">
        <f t="shared" si="1"/>
        <v>Ni</v>
      </c>
      <c r="F34" s="84">
        <v>43750.0</v>
      </c>
    </row>
    <row r="35">
      <c r="A35" s="85" t="s">
        <v>570</v>
      </c>
      <c r="B35" s="85" t="s">
        <v>504</v>
      </c>
      <c r="C35" s="87" t="s">
        <v>186</v>
      </c>
      <c r="D35" s="87" t="s">
        <v>571</v>
      </c>
      <c r="E35" s="85" t="str">
        <f t="shared" si="1"/>
        <v>Ni</v>
      </c>
      <c r="F35" s="84">
        <v>15900.0</v>
      </c>
    </row>
    <row r="36">
      <c r="A36" s="85" t="s">
        <v>572</v>
      </c>
      <c r="B36" s="85" t="s">
        <v>504</v>
      </c>
      <c r="C36" s="88" t="s">
        <v>186</v>
      </c>
      <c r="D36" s="88" t="s">
        <v>573</v>
      </c>
      <c r="E36" s="85" t="str">
        <f t="shared" si="1"/>
        <v>Ni</v>
      </c>
      <c r="F36" s="84">
        <v>15900.0</v>
      </c>
    </row>
    <row r="37">
      <c r="A37" s="85" t="s">
        <v>574</v>
      </c>
      <c r="B37" s="85" t="s">
        <v>504</v>
      </c>
      <c r="C37" s="87" t="s">
        <v>186</v>
      </c>
      <c r="D37" s="87" t="s">
        <v>575</v>
      </c>
      <c r="E37" s="85" t="str">
        <f t="shared" si="1"/>
        <v>Ni</v>
      </c>
      <c r="F37" s="84">
        <v>15900.0</v>
      </c>
    </row>
    <row r="38">
      <c r="A38" s="85" t="s">
        <v>576</v>
      </c>
      <c r="B38" s="85" t="s">
        <v>504</v>
      </c>
      <c r="C38" s="88" t="s">
        <v>186</v>
      </c>
      <c r="D38" s="88" t="s">
        <v>577</v>
      </c>
      <c r="E38" s="85" t="str">
        <f t="shared" si="1"/>
        <v>Ni</v>
      </c>
      <c r="F38" s="84">
        <v>57650.0</v>
      </c>
    </row>
    <row r="39">
      <c r="A39" s="85" t="s">
        <v>578</v>
      </c>
      <c r="B39" s="85" t="s">
        <v>504</v>
      </c>
      <c r="C39" s="87" t="s">
        <v>186</v>
      </c>
      <c r="D39" s="87" t="s">
        <v>579</v>
      </c>
      <c r="E39" s="85" t="str">
        <f t="shared" si="1"/>
        <v>Ni</v>
      </c>
      <c r="F39" s="1">
        <v>17900.0</v>
      </c>
    </row>
    <row r="40">
      <c r="A40" s="85" t="s">
        <v>580</v>
      </c>
      <c r="B40" s="85" t="s">
        <v>504</v>
      </c>
      <c r="C40" s="87" t="s">
        <v>186</v>
      </c>
      <c r="D40" s="88" t="s">
        <v>581</v>
      </c>
      <c r="E40" s="85" t="str">
        <f t="shared" si="1"/>
        <v>Ni</v>
      </c>
      <c r="F40" s="1">
        <v>17900.0</v>
      </c>
    </row>
    <row r="41">
      <c r="A41" s="85" t="s">
        <v>582</v>
      </c>
      <c r="B41" s="85" t="s">
        <v>504</v>
      </c>
      <c r="C41" s="88" t="s">
        <v>186</v>
      </c>
      <c r="D41" s="88" t="s">
        <v>583</v>
      </c>
      <c r="E41" s="85" t="str">
        <f t="shared" si="1"/>
        <v>Ni</v>
      </c>
      <c r="F41" s="84">
        <v>57650.0</v>
      </c>
    </row>
    <row r="42">
      <c r="A42" s="85" t="s">
        <v>584</v>
      </c>
      <c r="B42" s="85" t="s">
        <v>504</v>
      </c>
      <c r="C42" s="87" t="s">
        <v>186</v>
      </c>
      <c r="D42" s="87" t="s">
        <v>585</v>
      </c>
      <c r="E42" s="85" t="str">
        <f t="shared" si="1"/>
        <v>Ni</v>
      </c>
      <c r="F42" s="84">
        <v>17600.0</v>
      </c>
    </row>
    <row r="43">
      <c r="A43" s="85" t="s">
        <v>586</v>
      </c>
      <c r="B43" s="85" t="s">
        <v>504</v>
      </c>
      <c r="C43" s="88" t="s">
        <v>186</v>
      </c>
      <c r="D43" s="88" t="s">
        <v>587</v>
      </c>
      <c r="E43" s="85" t="str">
        <f t="shared" si="1"/>
        <v>Ni</v>
      </c>
      <c r="F43" s="84">
        <v>20800.0</v>
      </c>
    </row>
    <row r="44">
      <c r="A44" s="85" t="s">
        <v>588</v>
      </c>
      <c r="B44" s="85" t="s">
        <v>504</v>
      </c>
      <c r="C44" s="87" t="s">
        <v>186</v>
      </c>
      <c r="D44" s="87" t="s">
        <v>589</v>
      </c>
      <c r="E44" s="85" t="str">
        <f t="shared" si="1"/>
        <v>Ni</v>
      </c>
      <c r="F44" s="84">
        <v>17600.0</v>
      </c>
    </row>
    <row r="45">
      <c r="A45" s="85" t="s">
        <v>590</v>
      </c>
      <c r="B45" s="85" t="s">
        <v>504</v>
      </c>
      <c r="C45" s="88" t="s">
        <v>186</v>
      </c>
      <c r="D45" s="88" t="s">
        <v>591</v>
      </c>
      <c r="E45" s="85" t="str">
        <f t="shared" si="1"/>
        <v>Ni</v>
      </c>
      <c r="F45" s="84">
        <v>16000.0</v>
      </c>
    </row>
    <row r="46">
      <c r="A46" s="85" t="s">
        <v>592</v>
      </c>
      <c r="B46" s="85" t="s">
        <v>504</v>
      </c>
      <c r="C46" s="87" t="s">
        <v>186</v>
      </c>
      <c r="D46" s="87" t="s">
        <v>593</v>
      </c>
      <c r="E46" s="85" t="str">
        <f t="shared" si="1"/>
        <v>Ni</v>
      </c>
      <c r="F46" s="84">
        <v>16000.0</v>
      </c>
    </row>
    <row r="47">
      <c r="A47" s="85" t="s">
        <v>594</v>
      </c>
      <c r="B47" s="85" t="s">
        <v>504</v>
      </c>
      <c r="C47" s="88" t="s">
        <v>186</v>
      </c>
      <c r="D47" s="88" t="s">
        <v>595</v>
      </c>
      <c r="E47" s="85" t="str">
        <f t="shared" si="1"/>
        <v>Ni</v>
      </c>
      <c r="F47" s="84">
        <v>18900.0</v>
      </c>
    </row>
    <row r="48">
      <c r="A48" s="85" t="s">
        <v>596</v>
      </c>
      <c r="B48" s="85" t="s">
        <v>504</v>
      </c>
      <c r="C48" s="87" t="s">
        <v>186</v>
      </c>
      <c r="D48" s="87" t="s">
        <v>597</v>
      </c>
      <c r="E48" s="85" t="str">
        <f t="shared" si="1"/>
        <v>Ni</v>
      </c>
      <c r="F48" s="84">
        <v>35600.0</v>
      </c>
    </row>
    <row r="49">
      <c r="A49" s="85" t="s">
        <v>598</v>
      </c>
      <c r="B49" s="85" t="s">
        <v>504</v>
      </c>
      <c r="C49" s="88" t="s">
        <v>186</v>
      </c>
      <c r="D49" s="88" t="s">
        <v>599</v>
      </c>
      <c r="E49" s="85" t="str">
        <f t="shared" si="1"/>
        <v>Ni</v>
      </c>
      <c r="F49" s="84">
        <v>22800.0</v>
      </c>
    </row>
    <row r="50">
      <c r="A50" s="85" t="s">
        <v>600</v>
      </c>
      <c r="B50" s="85" t="s">
        <v>504</v>
      </c>
      <c r="C50" s="87" t="s">
        <v>186</v>
      </c>
      <c r="D50" s="87" t="s">
        <v>601</v>
      </c>
      <c r="E50" s="85" t="str">
        <f t="shared" si="1"/>
        <v>Ni</v>
      </c>
      <c r="F50" s="84">
        <v>27000.0</v>
      </c>
    </row>
    <row r="51">
      <c r="A51" s="85" t="s">
        <v>602</v>
      </c>
      <c r="B51" s="85" t="s">
        <v>504</v>
      </c>
      <c r="C51" s="88" t="s">
        <v>186</v>
      </c>
      <c r="D51" s="88" t="s">
        <v>603</v>
      </c>
      <c r="E51" s="85" t="str">
        <f t="shared" si="1"/>
        <v>Ni</v>
      </c>
      <c r="F51" s="84">
        <v>27000.0</v>
      </c>
    </row>
    <row r="52">
      <c r="A52" s="85" t="s">
        <v>604</v>
      </c>
      <c r="B52" s="85" t="s">
        <v>504</v>
      </c>
      <c r="C52" s="87" t="s">
        <v>186</v>
      </c>
      <c r="D52" s="87" t="s">
        <v>605</v>
      </c>
      <c r="E52" s="85" t="str">
        <f t="shared" si="1"/>
        <v>Ni</v>
      </c>
      <c r="F52" s="84">
        <v>35600.0</v>
      </c>
    </row>
    <row r="53">
      <c r="A53" s="85" t="s">
        <v>606</v>
      </c>
      <c r="B53" s="85" t="s">
        <v>504</v>
      </c>
      <c r="C53" s="88" t="s">
        <v>186</v>
      </c>
      <c r="D53" s="88" t="s">
        <v>607</v>
      </c>
      <c r="E53" s="85" t="str">
        <f t="shared" si="1"/>
        <v>Ni</v>
      </c>
      <c r="F53" s="84">
        <v>55380.0</v>
      </c>
    </row>
    <row r="54">
      <c r="A54" s="85" t="s">
        <v>608</v>
      </c>
      <c r="B54" s="85" t="s">
        <v>504</v>
      </c>
      <c r="C54" s="87" t="s">
        <v>186</v>
      </c>
      <c r="D54" s="87" t="s">
        <v>609</v>
      </c>
      <c r="E54" s="85" t="str">
        <f t="shared" si="1"/>
        <v>Ni</v>
      </c>
      <c r="F54" s="84">
        <v>17600.0</v>
      </c>
    </row>
    <row r="55">
      <c r="A55" s="85" t="s">
        <v>610</v>
      </c>
      <c r="B55" s="85" t="s">
        <v>504</v>
      </c>
      <c r="C55" s="88" t="s">
        <v>186</v>
      </c>
      <c r="D55" s="88" t="s">
        <v>611</v>
      </c>
      <c r="E55" s="85" t="str">
        <f t="shared" si="1"/>
        <v>Ni</v>
      </c>
      <c r="F55" s="84">
        <v>69100.0</v>
      </c>
    </row>
    <row r="56">
      <c r="A56" s="85" t="s">
        <v>612</v>
      </c>
      <c r="B56" s="85" t="s">
        <v>504</v>
      </c>
      <c r="C56" s="87" t="s">
        <v>186</v>
      </c>
      <c r="D56" s="87" t="s">
        <v>613</v>
      </c>
      <c r="E56" s="85" t="str">
        <f t="shared" si="1"/>
        <v>Ni</v>
      </c>
      <c r="F56" s="84">
        <v>17600.0</v>
      </c>
    </row>
    <row r="57">
      <c r="A57" s="83" t="s">
        <v>614</v>
      </c>
      <c r="B57" s="85" t="s">
        <v>74</v>
      </c>
      <c r="C57" s="88" t="s">
        <v>334</v>
      </c>
      <c r="D57" s="88" t="s">
        <v>615</v>
      </c>
      <c r="E57" s="85" t="str">
        <f t="shared" si="1"/>
        <v>IX</v>
      </c>
      <c r="F57" s="84">
        <v>71700.0</v>
      </c>
    </row>
    <row r="58">
      <c r="A58" s="85" t="s">
        <v>616</v>
      </c>
      <c r="B58" s="85" t="s">
        <v>74</v>
      </c>
      <c r="C58" s="87" t="s">
        <v>337</v>
      </c>
      <c r="D58" s="87" t="s">
        <v>617</v>
      </c>
      <c r="E58" s="85" t="str">
        <f t="shared" si="1"/>
        <v>GP</v>
      </c>
      <c r="F58" s="84">
        <v>26800.0</v>
      </c>
    </row>
    <row r="59">
      <c r="A59" s="85" t="s">
        <v>618</v>
      </c>
      <c r="B59" s="85" t="s">
        <v>74</v>
      </c>
      <c r="C59" s="88" t="s">
        <v>337</v>
      </c>
      <c r="D59" s="88" t="s">
        <v>619</v>
      </c>
      <c r="E59" s="85" t="str">
        <f t="shared" si="1"/>
        <v>GP</v>
      </c>
      <c r="F59" s="84">
        <v>26800.0</v>
      </c>
    </row>
    <row r="60">
      <c r="A60" s="82" t="s">
        <v>620</v>
      </c>
      <c r="B60" s="85" t="s">
        <v>74</v>
      </c>
      <c r="C60" s="87" t="s">
        <v>337</v>
      </c>
      <c r="D60" s="87" t="s">
        <v>34</v>
      </c>
      <c r="E60" s="85" t="str">
        <f t="shared" si="1"/>
        <v>GP</v>
      </c>
      <c r="F60" s="1">
        <v>26800.0</v>
      </c>
    </row>
    <row r="61">
      <c r="A61" s="85" t="s">
        <v>621</v>
      </c>
      <c r="B61" s="85" t="s">
        <v>74</v>
      </c>
      <c r="C61" s="88" t="s">
        <v>334</v>
      </c>
      <c r="D61" s="88" t="s">
        <v>622</v>
      </c>
      <c r="E61" s="85" t="str">
        <f t="shared" si="1"/>
        <v>IX</v>
      </c>
      <c r="F61" s="84">
        <v>71700.0</v>
      </c>
    </row>
    <row r="62">
      <c r="A62" s="85" t="s">
        <v>623</v>
      </c>
      <c r="B62" s="85" t="s">
        <v>74</v>
      </c>
      <c r="C62" s="87" t="s">
        <v>334</v>
      </c>
      <c r="D62" s="87" t="s">
        <v>624</v>
      </c>
      <c r="E62" s="85" t="str">
        <f t="shared" si="1"/>
        <v>IX</v>
      </c>
      <c r="F62" s="84">
        <v>71700.0</v>
      </c>
    </row>
    <row r="63">
      <c r="A63" s="82" t="s">
        <v>625</v>
      </c>
      <c r="B63" s="85" t="s">
        <v>74</v>
      </c>
      <c r="C63" s="88" t="s">
        <v>337</v>
      </c>
      <c r="D63" s="88" t="s">
        <v>626</v>
      </c>
      <c r="E63" s="85" t="str">
        <f t="shared" si="1"/>
        <v>GP</v>
      </c>
      <c r="F63" s="1">
        <v>26800.0</v>
      </c>
    </row>
    <row r="64">
      <c r="A64" s="85" t="s">
        <v>627</v>
      </c>
      <c r="B64" s="85" t="s">
        <v>74</v>
      </c>
      <c r="C64" s="87" t="s">
        <v>334</v>
      </c>
      <c r="D64" s="87" t="s">
        <v>628</v>
      </c>
      <c r="E64" s="85" t="str">
        <f t="shared" si="1"/>
        <v>IX</v>
      </c>
      <c r="F64" s="84">
        <v>71700.0</v>
      </c>
    </row>
    <row r="65">
      <c r="A65" s="85" t="s">
        <v>629</v>
      </c>
      <c r="B65" s="85" t="s">
        <v>74</v>
      </c>
      <c r="C65" s="88" t="s">
        <v>334</v>
      </c>
      <c r="D65" s="88" t="s">
        <v>630</v>
      </c>
      <c r="E65" s="85" t="str">
        <f t="shared" si="1"/>
        <v>IX</v>
      </c>
      <c r="F65" s="84">
        <v>71700.0</v>
      </c>
    </row>
    <row r="66">
      <c r="A66" s="89" t="s">
        <v>631</v>
      </c>
      <c r="B66" s="85" t="s">
        <v>74</v>
      </c>
      <c r="C66" s="88" t="s">
        <v>334</v>
      </c>
      <c r="D66" s="91" t="s">
        <v>79</v>
      </c>
      <c r="E66" s="89" t="s">
        <v>334</v>
      </c>
      <c r="F66" s="6">
        <v>71700.0</v>
      </c>
    </row>
    <row r="67">
      <c r="A67" s="85" t="s">
        <v>632</v>
      </c>
      <c r="B67" s="85" t="s">
        <v>74</v>
      </c>
      <c r="C67" s="87" t="s">
        <v>334</v>
      </c>
      <c r="D67" s="91" t="s">
        <v>32</v>
      </c>
      <c r="E67" s="85" t="str">
        <f t="shared" ref="E67:E194" si="2">if(C67="YL","Ni",if(C67="GP","GP",if(C67="RACING","IX",if(C67="IL","IX",if(C67="IX","IX",if(C67="PL","IX","NONE"))))))</f>
        <v>IX</v>
      </c>
      <c r="F67" s="84">
        <v>71700.0</v>
      </c>
    </row>
    <row r="68">
      <c r="A68" s="85" t="s">
        <v>614</v>
      </c>
      <c r="B68" s="85" t="s">
        <v>74</v>
      </c>
      <c r="C68" s="88" t="s">
        <v>334</v>
      </c>
      <c r="D68" s="88" t="s">
        <v>633</v>
      </c>
      <c r="E68" s="85" t="str">
        <f t="shared" si="2"/>
        <v>IX</v>
      </c>
      <c r="F68" s="84">
        <v>71700.0</v>
      </c>
    </row>
    <row r="69">
      <c r="A69" s="85" t="s">
        <v>634</v>
      </c>
      <c r="B69" s="85" t="s">
        <v>74</v>
      </c>
      <c r="C69" s="87" t="s">
        <v>334</v>
      </c>
      <c r="D69" s="87" t="s">
        <v>635</v>
      </c>
      <c r="E69" s="85" t="str">
        <f t="shared" si="2"/>
        <v>IX</v>
      </c>
      <c r="F69" s="84">
        <v>71700.0</v>
      </c>
    </row>
    <row r="70">
      <c r="A70" s="85" t="s">
        <v>636</v>
      </c>
      <c r="B70" s="85" t="s">
        <v>74</v>
      </c>
      <c r="C70" s="88" t="s">
        <v>337</v>
      </c>
      <c r="D70" s="90" t="s">
        <v>36</v>
      </c>
      <c r="E70" s="85" t="str">
        <f t="shared" si="2"/>
        <v>GP</v>
      </c>
      <c r="F70" s="84">
        <v>26800.0</v>
      </c>
    </row>
    <row r="71">
      <c r="A71" s="82" t="s">
        <v>637</v>
      </c>
      <c r="B71" s="85" t="s">
        <v>74</v>
      </c>
      <c r="C71" s="88" t="s">
        <v>337</v>
      </c>
      <c r="D71" s="90" t="s">
        <v>638</v>
      </c>
      <c r="E71" s="85" t="str">
        <f t="shared" si="2"/>
        <v>GP</v>
      </c>
      <c r="F71" s="84">
        <v>26800.0</v>
      </c>
    </row>
    <row r="72">
      <c r="A72" s="85" t="s">
        <v>639</v>
      </c>
      <c r="B72" s="85" t="s">
        <v>74</v>
      </c>
      <c r="C72" s="87" t="s">
        <v>334</v>
      </c>
      <c r="D72" s="87" t="s">
        <v>640</v>
      </c>
      <c r="E72" s="85" t="str">
        <f t="shared" si="2"/>
        <v>IX</v>
      </c>
      <c r="F72" s="84">
        <v>71700.0</v>
      </c>
    </row>
    <row r="73">
      <c r="A73" s="85" t="s">
        <v>641</v>
      </c>
      <c r="B73" s="85" t="s">
        <v>74</v>
      </c>
      <c r="C73" s="88" t="s">
        <v>334</v>
      </c>
      <c r="D73" s="88" t="s">
        <v>642</v>
      </c>
      <c r="E73" s="85" t="str">
        <f t="shared" si="2"/>
        <v>IX</v>
      </c>
      <c r="F73" s="84">
        <v>71700.0</v>
      </c>
    </row>
    <row r="74">
      <c r="A74" s="82" t="s">
        <v>643</v>
      </c>
      <c r="B74" s="85" t="s">
        <v>74</v>
      </c>
      <c r="C74" s="88" t="s">
        <v>334</v>
      </c>
      <c r="D74" s="90" t="s">
        <v>644</v>
      </c>
      <c r="E74" s="85" t="str">
        <f t="shared" si="2"/>
        <v>IX</v>
      </c>
      <c r="F74" s="84">
        <v>71700.0</v>
      </c>
    </row>
    <row r="75">
      <c r="A75" s="85" t="s">
        <v>645</v>
      </c>
      <c r="B75" s="85" t="s">
        <v>74</v>
      </c>
      <c r="C75" s="87" t="s">
        <v>337</v>
      </c>
      <c r="D75" s="87" t="s">
        <v>646</v>
      </c>
      <c r="E75" s="85" t="str">
        <f t="shared" si="2"/>
        <v>GP</v>
      </c>
      <c r="F75" s="84">
        <v>26800.0</v>
      </c>
    </row>
    <row r="76">
      <c r="A76" s="85" t="s">
        <v>647</v>
      </c>
      <c r="B76" s="85" t="s">
        <v>74</v>
      </c>
      <c r="C76" s="88" t="s">
        <v>334</v>
      </c>
      <c r="D76" s="88" t="s">
        <v>648</v>
      </c>
      <c r="E76" s="85" t="str">
        <f t="shared" si="2"/>
        <v>IX</v>
      </c>
      <c r="F76" s="84">
        <v>71700.0</v>
      </c>
    </row>
    <row r="77">
      <c r="A77" s="85" t="s">
        <v>649</v>
      </c>
      <c r="B77" s="85" t="s">
        <v>74</v>
      </c>
      <c r="C77" s="87" t="s">
        <v>334</v>
      </c>
      <c r="D77" s="87" t="s">
        <v>650</v>
      </c>
      <c r="E77" s="85" t="str">
        <f t="shared" si="2"/>
        <v>IX</v>
      </c>
      <c r="F77" s="84">
        <v>71700.0</v>
      </c>
    </row>
    <row r="78">
      <c r="A78" s="89" t="s">
        <v>651</v>
      </c>
      <c r="B78" s="85" t="s">
        <v>74</v>
      </c>
      <c r="C78" s="87" t="s">
        <v>334</v>
      </c>
      <c r="D78" s="91" t="s">
        <v>652</v>
      </c>
      <c r="E78" s="85" t="str">
        <f t="shared" si="2"/>
        <v>IX</v>
      </c>
      <c r="F78" s="84">
        <v>71700.0</v>
      </c>
    </row>
    <row r="79">
      <c r="A79" s="85" t="s">
        <v>653</v>
      </c>
      <c r="B79" s="85" t="s">
        <v>74</v>
      </c>
      <c r="C79" s="88" t="s">
        <v>334</v>
      </c>
      <c r="D79" s="88" t="s">
        <v>654</v>
      </c>
      <c r="E79" s="85" t="str">
        <f t="shared" si="2"/>
        <v>IX</v>
      </c>
      <c r="F79" s="84">
        <v>71700.0</v>
      </c>
    </row>
    <row r="80">
      <c r="A80" s="89" t="s">
        <v>655</v>
      </c>
      <c r="B80" s="85" t="s">
        <v>74</v>
      </c>
      <c r="C80" s="87" t="s">
        <v>337</v>
      </c>
      <c r="D80" s="87" t="s">
        <v>35</v>
      </c>
      <c r="E80" s="85" t="str">
        <f t="shared" si="2"/>
        <v>GP</v>
      </c>
      <c r="F80" s="1">
        <v>26800.0</v>
      </c>
    </row>
    <row r="81">
      <c r="A81" s="89" t="s">
        <v>656</v>
      </c>
      <c r="B81" s="85" t="s">
        <v>74</v>
      </c>
      <c r="C81" s="87" t="s">
        <v>337</v>
      </c>
      <c r="D81" s="91" t="s">
        <v>657</v>
      </c>
      <c r="E81" s="85" t="str">
        <f t="shared" si="2"/>
        <v>GP</v>
      </c>
      <c r="F81" s="1">
        <v>26800.0</v>
      </c>
    </row>
    <row r="82">
      <c r="A82" s="85" t="s">
        <v>658</v>
      </c>
      <c r="B82" s="85" t="s">
        <v>74</v>
      </c>
      <c r="C82" s="88" t="s">
        <v>334</v>
      </c>
      <c r="D82" s="88" t="s">
        <v>659</v>
      </c>
      <c r="E82" s="85" t="str">
        <f t="shared" si="2"/>
        <v>IX</v>
      </c>
      <c r="F82" s="84">
        <v>71700.0</v>
      </c>
    </row>
    <row r="83">
      <c r="A83" s="82" t="s">
        <v>660</v>
      </c>
      <c r="B83" s="85" t="s">
        <v>74</v>
      </c>
      <c r="C83" s="88" t="s">
        <v>334</v>
      </c>
      <c r="D83" s="90" t="s">
        <v>661</v>
      </c>
      <c r="E83" s="85" t="str">
        <f t="shared" si="2"/>
        <v>IX</v>
      </c>
      <c r="F83" s="84">
        <v>71700.0</v>
      </c>
    </row>
    <row r="84">
      <c r="A84" s="85" t="s">
        <v>662</v>
      </c>
      <c r="B84" s="85" t="s">
        <v>74</v>
      </c>
      <c r="C84" s="87" t="s">
        <v>334</v>
      </c>
      <c r="D84" s="87" t="s">
        <v>663</v>
      </c>
      <c r="E84" s="85" t="str">
        <f t="shared" si="2"/>
        <v>IX</v>
      </c>
      <c r="F84" s="84">
        <v>71700.0</v>
      </c>
    </row>
    <row r="85">
      <c r="A85" s="85" t="s">
        <v>664</v>
      </c>
      <c r="B85" s="85" t="s">
        <v>74</v>
      </c>
      <c r="C85" s="88" t="s">
        <v>181</v>
      </c>
      <c r="D85" s="88" t="s">
        <v>665</v>
      </c>
      <c r="E85" s="85" t="str">
        <f t="shared" si="2"/>
        <v>IX</v>
      </c>
      <c r="F85" s="1">
        <v>150700.0</v>
      </c>
    </row>
    <row r="86">
      <c r="A86" s="85" t="s">
        <v>666</v>
      </c>
      <c r="B86" s="85" t="s">
        <v>74</v>
      </c>
      <c r="C86" s="87" t="s">
        <v>181</v>
      </c>
      <c r="D86" s="87" t="s">
        <v>667</v>
      </c>
      <c r="E86" s="85" t="str">
        <f t="shared" si="2"/>
        <v>IX</v>
      </c>
      <c r="F86" s="1">
        <v>150700.0</v>
      </c>
    </row>
    <row r="87">
      <c r="A87" s="85" t="s">
        <v>668</v>
      </c>
      <c r="B87" s="85" t="s">
        <v>74</v>
      </c>
      <c r="C87" s="88" t="s">
        <v>181</v>
      </c>
      <c r="D87" s="88" t="s">
        <v>669</v>
      </c>
      <c r="E87" s="85" t="str">
        <f t="shared" si="2"/>
        <v>IX</v>
      </c>
      <c r="F87" s="84">
        <v>150700.0</v>
      </c>
    </row>
    <row r="88">
      <c r="A88" s="85" t="s">
        <v>670</v>
      </c>
      <c r="B88" s="85" t="s">
        <v>74</v>
      </c>
      <c r="C88" s="87" t="s">
        <v>181</v>
      </c>
      <c r="D88" s="87" t="s">
        <v>671</v>
      </c>
      <c r="E88" s="85" t="str">
        <f t="shared" si="2"/>
        <v>IX</v>
      </c>
      <c r="F88" s="84">
        <v>150700.0</v>
      </c>
    </row>
    <row r="89">
      <c r="A89" s="85" t="s">
        <v>672</v>
      </c>
      <c r="B89" s="85" t="s">
        <v>74</v>
      </c>
      <c r="C89" s="88" t="s">
        <v>181</v>
      </c>
      <c r="D89" s="88" t="s">
        <v>673</v>
      </c>
      <c r="E89" s="85" t="str">
        <f t="shared" si="2"/>
        <v>IX</v>
      </c>
      <c r="F89" s="84">
        <v>112500.0</v>
      </c>
    </row>
    <row r="90">
      <c r="A90" s="85" t="s">
        <v>674</v>
      </c>
      <c r="B90" s="85" t="s">
        <v>74</v>
      </c>
      <c r="C90" s="87" t="s">
        <v>181</v>
      </c>
      <c r="D90" s="87" t="s">
        <v>675</v>
      </c>
      <c r="E90" s="85" t="str">
        <f t="shared" si="2"/>
        <v>IX</v>
      </c>
      <c r="F90" s="84">
        <v>150700.0</v>
      </c>
    </row>
    <row r="91">
      <c r="A91" s="82" t="s">
        <v>676</v>
      </c>
      <c r="B91" s="85" t="s">
        <v>74</v>
      </c>
      <c r="C91" s="87" t="s">
        <v>181</v>
      </c>
      <c r="D91" s="90" t="s">
        <v>677</v>
      </c>
      <c r="E91" s="85" t="str">
        <f t="shared" si="2"/>
        <v>IX</v>
      </c>
      <c r="F91" s="84">
        <v>150700.0</v>
      </c>
    </row>
    <row r="92">
      <c r="A92" s="82" t="s">
        <v>678</v>
      </c>
      <c r="B92" s="85" t="s">
        <v>74</v>
      </c>
      <c r="C92" s="90" t="s">
        <v>181</v>
      </c>
      <c r="D92" s="90" t="s">
        <v>679</v>
      </c>
      <c r="E92" s="85" t="str">
        <f t="shared" si="2"/>
        <v>IX</v>
      </c>
      <c r="F92" s="84">
        <v>150700.0</v>
      </c>
    </row>
    <row r="93">
      <c r="A93" s="85" t="s">
        <v>680</v>
      </c>
      <c r="B93" s="85" t="s">
        <v>74</v>
      </c>
      <c r="C93" s="88" t="s">
        <v>181</v>
      </c>
      <c r="D93" s="88" t="s">
        <v>681</v>
      </c>
      <c r="E93" s="85" t="str">
        <f t="shared" si="2"/>
        <v>IX</v>
      </c>
      <c r="F93" s="84">
        <v>150700.0</v>
      </c>
    </row>
    <row r="94">
      <c r="A94" s="85" t="s">
        <v>682</v>
      </c>
      <c r="B94" s="85" t="s">
        <v>74</v>
      </c>
      <c r="C94" s="87" t="s">
        <v>181</v>
      </c>
      <c r="D94" s="87" t="s">
        <v>683</v>
      </c>
      <c r="E94" s="85" t="str">
        <f t="shared" si="2"/>
        <v>IX</v>
      </c>
      <c r="F94" s="84">
        <v>150700.0</v>
      </c>
    </row>
    <row r="95">
      <c r="A95" s="85" t="s">
        <v>684</v>
      </c>
      <c r="B95" s="85" t="s">
        <v>74</v>
      </c>
      <c r="C95" s="88" t="s">
        <v>181</v>
      </c>
      <c r="D95" s="88" t="s">
        <v>685</v>
      </c>
      <c r="E95" s="85" t="str">
        <f t="shared" si="2"/>
        <v>IX</v>
      </c>
      <c r="F95" s="84">
        <v>150700.0</v>
      </c>
    </row>
    <row r="96">
      <c r="A96" s="85" t="s">
        <v>686</v>
      </c>
      <c r="B96" s="85" t="s">
        <v>74</v>
      </c>
      <c r="C96" s="87" t="s">
        <v>181</v>
      </c>
      <c r="D96" s="87" t="s">
        <v>687</v>
      </c>
      <c r="E96" s="85" t="str">
        <f t="shared" si="2"/>
        <v>IX</v>
      </c>
      <c r="F96" s="84">
        <v>150700.0</v>
      </c>
    </row>
    <row r="97">
      <c r="A97" s="85" t="s">
        <v>688</v>
      </c>
      <c r="B97" s="85" t="s">
        <v>74</v>
      </c>
      <c r="C97" s="88" t="s">
        <v>181</v>
      </c>
      <c r="D97" s="88" t="s">
        <v>689</v>
      </c>
      <c r="E97" s="85" t="str">
        <f t="shared" si="2"/>
        <v>IX</v>
      </c>
      <c r="F97" s="84">
        <v>150700.0</v>
      </c>
    </row>
    <row r="98">
      <c r="A98" s="89" t="s">
        <v>690</v>
      </c>
      <c r="B98" s="85" t="s">
        <v>74</v>
      </c>
      <c r="C98" s="88" t="s">
        <v>181</v>
      </c>
      <c r="D98" s="90" t="s">
        <v>691</v>
      </c>
      <c r="E98" s="85" t="str">
        <f t="shared" si="2"/>
        <v>IX</v>
      </c>
      <c r="F98" s="84">
        <v>150700.0</v>
      </c>
    </row>
    <row r="99">
      <c r="A99" s="83" t="s">
        <v>692</v>
      </c>
      <c r="B99" s="85" t="s">
        <v>74</v>
      </c>
      <c r="C99" s="87" t="s">
        <v>181</v>
      </c>
      <c r="D99" s="87" t="s">
        <v>693</v>
      </c>
      <c r="E99" s="85" t="str">
        <f t="shared" si="2"/>
        <v>IX</v>
      </c>
      <c r="F99" s="84">
        <v>150700.0</v>
      </c>
    </row>
    <row r="100">
      <c r="A100" s="82" t="s">
        <v>694</v>
      </c>
      <c r="B100" s="83" t="s">
        <v>74</v>
      </c>
      <c r="C100" s="83" t="s">
        <v>181</v>
      </c>
      <c r="D100" s="82" t="s">
        <v>76</v>
      </c>
      <c r="E100" s="83" t="str">
        <f t="shared" si="2"/>
        <v>IX</v>
      </c>
      <c r="F100" s="92">
        <v>181300.0</v>
      </c>
    </row>
    <row r="101">
      <c r="A101" s="85" t="s">
        <v>695</v>
      </c>
      <c r="B101" s="85" t="s">
        <v>74</v>
      </c>
      <c r="C101" s="88" t="s">
        <v>181</v>
      </c>
      <c r="D101" s="82" t="s">
        <v>30</v>
      </c>
      <c r="E101" s="85" t="str">
        <f t="shared" si="2"/>
        <v>IX</v>
      </c>
      <c r="F101" s="84">
        <v>150700.0</v>
      </c>
    </row>
    <row r="102">
      <c r="A102" s="85" t="s">
        <v>696</v>
      </c>
      <c r="B102" s="85" t="s">
        <v>74</v>
      </c>
      <c r="C102" s="87" t="s">
        <v>181</v>
      </c>
      <c r="D102" s="87" t="s">
        <v>697</v>
      </c>
      <c r="E102" s="85" t="str">
        <f t="shared" si="2"/>
        <v>IX</v>
      </c>
      <c r="F102" s="84">
        <v>150700.0</v>
      </c>
    </row>
    <row r="103">
      <c r="A103" s="85" t="s">
        <v>698</v>
      </c>
      <c r="B103" s="85" t="s">
        <v>74</v>
      </c>
      <c r="C103" s="88" t="s">
        <v>181</v>
      </c>
      <c r="D103" s="88" t="s">
        <v>699</v>
      </c>
      <c r="E103" s="85" t="str">
        <f t="shared" si="2"/>
        <v>IX</v>
      </c>
      <c r="F103" s="84">
        <v>150700.0</v>
      </c>
    </row>
    <row r="104">
      <c r="A104" s="85" t="s">
        <v>700</v>
      </c>
      <c r="B104" s="85" t="s">
        <v>74</v>
      </c>
      <c r="C104" s="87" t="s">
        <v>181</v>
      </c>
      <c r="D104" s="87" t="s">
        <v>701</v>
      </c>
      <c r="E104" s="85" t="str">
        <f t="shared" si="2"/>
        <v>IX</v>
      </c>
      <c r="F104" s="84">
        <v>112500.0</v>
      </c>
    </row>
    <row r="105">
      <c r="A105" s="89" t="s">
        <v>702</v>
      </c>
      <c r="B105" s="85" t="s">
        <v>74</v>
      </c>
      <c r="C105" s="87" t="s">
        <v>181</v>
      </c>
      <c r="D105" s="91" t="s">
        <v>703</v>
      </c>
      <c r="E105" s="85" t="str">
        <f t="shared" si="2"/>
        <v>IX</v>
      </c>
      <c r="F105" s="84">
        <v>112500.0</v>
      </c>
    </row>
    <row r="106">
      <c r="A106" s="85" t="s">
        <v>704</v>
      </c>
      <c r="B106" s="85" t="s">
        <v>74</v>
      </c>
      <c r="C106" s="88" t="s">
        <v>181</v>
      </c>
      <c r="D106" s="88" t="s">
        <v>705</v>
      </c>
      <c r="E106" s="85" t="str">
        <f t="shared" si="2"/>
        <v>IX</v>
      </c>
      <c r="F106" s="84">
        <v>150700.0</v>
      </c>
    </row>
    <row r="107">
      <c r="A107" s="85" t="s">
        <v>706</v>
      </c>
      <c r="B107" s="85" t="s">
        <v>74</v>
      </c>
      <c r="C107" s="87" t="s">
        <v>181</v>
      </c>
      <c r="D107" s="87" t="s">
        <v>707</v>
      </c>
      <c r="E107" s="85" t="str">
        <f t="shared" si="2"/>
        <v>IX</v>
      </c>
      <c r="F107" s="84">
        <v>150700.0</v>
      </c>
    </row>
    <row r="108">
      <c r="A108" s="85" t="s">
        <v>708</v>
      </c>
      <c r="B108" s="85" t="s">
        <v>74</v>
      </c>
      <c r="C108" s="88" t="s">
        <v>181</v>
      </c>
      <c r="D108" s="82" t="s">
        <v>29</v>
      </c>
      <c r="E108" s="85" t="str">
        <f t="shared" si="2"/>
        <v>IX</v>
      </c>
      <c r="F108" s="84">
        <v>150700.0</v>
      </c>
    </row>
    <row r="109">
      <c r="A109" s="85" t="s">
        <v>709</v>
      </c>
      <c r="B109" s="85" t="s">
        <v>74</v>
      </c>
      <c r="C109" s="87" t="s">
        <v>181</v>
      </c>
      <c r="D109" s="87" t="s">
        <v>710</v>
      </c>
      <c r="E109" s="85" t="str">
        <f t="shared" si="2"/>
        <v>IX</v>
      </c>
      <c r="F109" s="84">
        <v>150700.0</v>
      </c>
    </row>
    <row r="110">
      <c r="A110" s="85" t="s">
        <v>711</v>
      </c>
      <c r="B110" s="85" t="s">
        <v>74</v>
      </c>
      <c r="C110" s="88" t="s">
        <v>181</v>
      </c>
      <c r="D110" s="88" t="s">
        <v>712</v>
      </c>
      <c r="E110" s="85" t="str">
        <f t="shared" si="2"/>
        <v>IX</v>
      </c>
      <c r="F110" s="84">
        <v>150700.0</v>
      </c>
    </row>
    <row r="111">
      <c r="A111" s="85" t="s">
        <v>713</v>
      </c>
      <c r="B111" s="85" t="s">
        <v>74</v>
      </c>
      <c r="C111" s="87" t="s">
        <v>181</v>
      </c>
      <c r="D111" s="87" t="s">
        <v>714</v>
      </c>
      <c r="E111" s="85" t="str">
        <f t="shared" si="2"/>
        <v>IX</v>
      </c>
      <c r="F111" s="84">
        <v>150700.0</v>
      </c>
    </row>
    <row r="112">
      <c r="A112" s="85" t="s">
        <v>715</v>
      </c>
      <c r="B112" s="85" t="s">
        <v>74</v>
      </c>
      <c r="C112" s="88" t="s">
        <v>181</v>
      </c>
      <c r="D112" s="88" t="s">
        <v>716</v>
      </c>
      <c r="E112" s="85" t="str">
        <f t="shared" si="2"/>
        <v>IX</v>
      </c>
      <c r="F112" s="84">
        <v>150700.0</v>
      </c>
    </row>
    <row r="113">
      <c r="A113" s="85" t="s">
        <v>717</v>
      </c>
      <c r="B113" s="85" t="s">
        <v>74</v>
      </c>
      <c r="C113" s="87" t="s">
        <v>181</v>
      </c>
      <c r="D113" s="87" t="s">
        <v>718</v>
      </c>
      <c r="E113" s="85" t="str">
        <f t="shared" si="2"/>
        <v>IX</v>
      </c>
      <c r="F113" s="84">
        <v>150700.0</v>
      </c>
    </row>
    <row r="114">
      <c r="A114" s="89" t="s">
        <v>719</v>
      </c>
      <c r="B114" s="85" t="s">
        <v>74</v>
      </c>
      <c r="C114" s="87" t="s">
        <v>181</v>
      </c>
      <c r="D114" s="91" t="s">
        <v>720</v>
      </c>
      <c r="E114" s="85" t="str">
        <f t="shared" si="2"/>
        <v>IX</v>
      </c>
      <c r="F114" s="84">
        <v>150700.0</v>
      </c>
    </row>
    <row r="115">
      <c r="A115" s="85" t="s">
        <v>721</v>
      </c>
      <c r="B115" s="85" t="s">
        <v>74</v>
      </c>
      <c r="C115" s="88" t="s">
        <v>181</v>
      </c>
      <c r="D115" s="88" t="s">
        <v>722</v>
      </c>
      <c r="E115" s="85" t="str">
        <f t="shared" si="2"/>
        <v>IX</v>
      </c>
      <c r="F115" s="84">
        <v>150700.0</v>
      </c>
    </row>
    <row r="116">
      <c r="A116" s="82" t="s">
        <v>723</v>
      </c>
      <c r="B116" s="85" t="s">
        <v>74</v>
      </c>
      <c r="C116" s="88" t="s">
        <v>181</v>
      </c>
      <c r="D116" s="91" t="s">
        <v>64</v>
      </c>
      <c r="E116" s="85" t="str">
        <f t="shared" si="2"/>
        <v>IX</v>
      </c>
      <c r="F116" s="6">
        <v>105700.0</v>
      </c>
    </row>
    <row r="117">
      <c r="A117" s="83" t="s">
        <v>724</v>
      </c>
      <c r="B117" s="85" t="s">
        <v>74</v>
      </c>
      <c r="C117" s="87" t="s">
        <v>181</v>
      </c>
      <c r="D117" s="87" t="s">
        <v>725</v>
      </c>
      <c r="E117" s="85" t="str">
        <f t="shared" si="2"/>
        <v>IX</v>
      </c>
      <c r="F117" s="84">
        <v>150700.0</v>
      </c>
    </row>
    <row r="118">
      <c r="A118" s="85" t="s">
        <v>726</v>
      </c>
      <c r="B118" s="85" t="s">
        <v>74</v>
      </c>
      <c r="C118" s="88" t="s">
        <v>181</v>
      </c>
      <c r="D118" s="90" t="s">
        <v>47</v>
      </c>
      <c r="E118" s="85" t="str">
        <f t="shared" si="2"/>
        <v>IX</v>
      </c>
      <c r="F118" s="84">
        <v>150700.0</v>
      </c>
    </row>
    <row r="119">
      <c r="A119" s="85" t="s">
        <v>727</v>
      </c>
      <c r="B119" s="85" t="s">
        <v>74</v>
      </c>
      <c r="C119" s="87" t="s">
        <v>181</v>
      </c>
      <c r="D119" s="87" t="s">
        <v>728</v>
      </c>
      <c r="E119" s="85" t="str">
        <f t="shared" si="2"/>
        <v>IX</v>
      </c>
      <c r="F119" s="84">
        <v>150700.0</v>
      </c>
    </row>
    <row r="120">
      <c r="A120" s="89" t="s">
        <v>729</v>
      </c>
      <c r="B120" s="85" t="s">
        <v>74</v>
      </c>
      <c r="C120" s="87" t="s">
        <v>181</v>
      </c>
      <c r="D120" s="91" t="s">
        <v>730</v>
      </c>
      <c r="E120" s="85" t="str">
        <f t="shared" si="2"/>
        <v>IX</v>
      </c>
      <c r="F120" s="84">
        <v>150700.0</v>
      </c>
    </row>
    <row r="121">
      <c r="A121" s="89" t="s">
        <v>731</v>
      </c>
      <c r="B121" s="89" t="s">
        <v>74</v>
      </c>
      <c r="C121" s="90" t="s">
        <v>181</v>
      </c>
      <c r="D121" s="90" t="s">
        <v>68</v>
      </c>
      <c r="E121" s="85" t="str">
        <f t="shared" si="2"/>
        <v>IX</v>
      </c>
      <c r="F121" s="6">
        <v>222700.0</v>
      </c>
    </row>
    <row r="122">
      <c r="A122" s="89" t="s">
        <v>732</v>
      </c>
      <c r="B122" s="89" t="s">
        <v>74</v>
      </c>
      <c r="C122" s="90" t="s">
        <v>181</v>
      </c>
      <c r="D122" s="96" t="s">
        <v>69</v>
      </c>
      <c r="E122" s="85" t="str">
        <f t="shared" si="2"/>
        <v>IX</v>
      </c>
      <c r="F122" s="6">
        <v>150700.0</v>
      </c>
    </row>
    <row r="123">
      <c r="A123" s="89" t="s">
        <v>733</v>
      </c>
      <c r="B123" s="89" t="s">
        <v>74</v>
      </c>
      <c r="C123" s="90" t="s">
        <v>181</v>
      </c>
      <c r="D123" s="96" t="s">
        <v>70</v>
      </c>
      <c r="E123" s="85" t="str">
        <f t="shared" si="2"/>
        <v>IX</v>
      </c>
      <c r="F123" s="6">
        <v>181300.0</v>
      </c>
    </row>
    <row r="124">
      <c r="A124" s="85" t="s">
        <v>734</v>
      </c>
      <c r="B124" s="85" t="s">
        <v>74</v>
      </c>
      <c r="C124" s="88" t="s">
        <v>181</v>
      </c>
      <c r="D124" s="88" t="s">
        <v>735</v>
      </c>
      <c r="E124" s="85" t="str">
        <f t="shared" si="2"/>
        <v>IX</v>
      </c>
      <c r="F124" s="84">
        <v>150700.0</v>
      </c>
    </row>
    <row r="125">
      <c r="A125" s="85" t="s">
        <v>736</v>
      </c>
      <c r="B125" s="85" t="s">
        <v>74</v>
      </c>
      <c r="C125" s="87" t="s">
        <v>181</v>
      </c>
      <c r="D125" s="82" t="s">
        <v>28</v>
      </c>
      <c r="E125" s="85" t="str">
        <f t="shared" si="2"/>
        <v>IX</v>
      </c>
      <c r="F125" s="84">
        <v>150700.0</v>
      </c>
    </row>
    <row r="126">
      <c r="A126" s="85" t="s">
        <v>737</v>
      </c>
      <c r="B126" s="85" t="s">
        <v>74</v>
      </c>
      <c r="C126" s="88" t="s">
        <v>181</v>
      </c>
      <c r="D126" s="88" t="s">
        <v>738</v>
      </c>
      <c r="E126" s="85" t="str">
        <f t="shared" si="2"/>
        <v>IX</v>
      </c>
      <c r="F126" s="84">
        <v>150700.0</v>
      </c>
    </row>
    <row r="127">
      <c r="A127" s="85" t="s">
        <v>739</v>
      </c>
      <c r="B127" s="85" t="s">
        <v>74</v>
      </c>
      <c r="C127" s="87" t="s">
        <v>181</v>
      </c>
      <c r="D127" s="87" t="s">
        <v>740</v>
      </c>
      <c r="E127" s="85" t="str">
        <f t="shared" si="2"/>
        <v>IX</v>
      </c>
      <c r="F127" s="84">
        <v>150700.0</v>
      </c>
    </row>
    <row r="128">
      <c r="A128" s="85" t="s">
        <v>741</v>
      </c>
      <c r="B128" s="85" t="s">
        <v>74</v>
      </c>
      <c r="C128" s="88" t="s">
        <v>181</v>
      </c>
      <c r="D128" s="88" t="s">
        <v>742</v>
      </c>
      <c r="E128" s="85" t="str">
        <f t="shared" si="2"/>
        <v>IX</v>
      </c>
      <c r="F128" s="84">
        <v>150700.0</v>
      </c>
    </row>
    <row r="129">
      <c r="A129" s="82" t="s">
        <v>743</v>
      </c>
      <c r="B129" s="85" t="s">
        <v>74</v>
      </c>
      <c r="C129" s="88" t="s">
        <v>181</v>
      </c>
      <c r="D129" s="90" t="s">
        <v>744</v>
      </c>
      <c r="E129" s="85" t="str">
        <f t="shared" si="2"/>
        <v>IX</v>
      </c>
      <c r="F129" s="84">
        <v>150700.0</v>
      </c>
    </row>
    <row r="130">
      <c r="A130" s="85" t="s">
        <v>745</v>
      </c>
      <c r="B130" s="85" t="s">
        <v>74</v>
      </c>
      <c r="C130" s="87" t="s">
        <v>181</v>
      </c>
      <c r="D130" s="87" t="s">
        <v>746</v>
      </c>
      <c r="E130" s="85" t="str">
        <f t="shared" si="2"/>
        <v>IX</v>
      </c>
      <c r="F130" s="84">
        <v>150700.0</v>
      </c>
    </row>
    <row r="131">
      <c r="A131" s="85" t="s">
        <v>747</v>
      </c>
      <c r="B131" s="85" t="s">
        <v>74</v>
      </c>
      <c r="C131" s="88" t="s">
        <v>337</v>
      </c>
      <c r="D131" s="88" t="s">
        <v>748</v>
      </c>
      <c r="E131" s="85" t="str">
        <f t="shared" si="2"/>
        <v>GP</v>
      </c>
      <c r="F131" s="84">
        <v>39100.0</v>
      </c>
    </row>
    <row r="132">
      <c r="A132" s="85" t="s">
        <v>749</v>
      </c>
      <c r="B132" s="85" t="s">
        <v>74</v>
      </c>
      <c r="C132" s="87" t="s">
        <v>334</v>
      </c>
      <c r="D132" s="87" t="s">
        <v>750</v>
      </c>
      <c r="E132" s="85" t="str">
        <f t="shared" si="2"/>
        <v>IX</v>
      </c>
      <c r="F132" s="84">
        <v>71700.0</v>
      </c>
    </row>
    <row r="133">
      <c r="A133" s="85" t="s">
        <v>751</v>
      </c>
      <c r="B133" s="85" t="s">
        <v>74</v>
      </c>
      <c r="C133" s="88" t="s">
        <v>334</v>
      </c>
      <c r="D133" s="88" t="s">
        <v>752</v>
      </c>
      <c r="E133" s="85" t="str">
        <f t="shared" si="2"/>
        <v>IX</v>
      </c>
      <c r="F133" s="84">
        <v>71700.0</v>
      </c>
    </row>
    <row r="134">
      <c r="A134" s="97" t="s">
        <v>21</v>
      </c>
      <c r="B134" s="95" t="s">
        <v>74</v>
      </c>
      <c r="C134" s="98" t="s">
        <v>334</v>
      </c>
      <c r="D134" s="99" t="s">
        <v>753</v>
      </c>
      <c r="E134" s="95" t="str">
        <f t="shared" si="2"/>
        <v>IX</v>
      </c>
      <c r="F134" s="84">
        <v>71700.0</v>
      </c>
    </row>
    <row r="135">
      <c r="A135" s="85" t="s">
        <v>754</v>
      </c>
      <c r="B135" s="85" t="s">
        <v>74</v>
      </c>
      <c r="C135" s="87" t="s">
        <v>337</v>
      </c>
      <c r="D135" s="87" t="s">
        <v>755</v>
      </c>
      <c r="E135" s="85" t="str">
        <f t="shared" si="2"/>
        <v>GP</v>
      </c>
      <c r="F135" s="84">
        <v>39100.0</v>
      </c>
    </row>
    <row r="136">
      <c r="A136" s="82" t="s">
        <v>756</v>
      </c>
      <c r="B136" s="83" t="s">
        <v>74</v>
      </c>
      <c r="C136" s="82" t="s">
        <v>181</v>
      </c>
      <c r="D136" s="82" t="s">
        <v>78</v>
      </c>
      <c r="E136" s="83" t="str">
        <f t="shared" si="2"/>
        <v>IX</v>
      </c>
      <c r="F136" s="3">
        <v>44400.0</v>
      </c>
    </row>
    <row r="137">
      <c r="A137" s="85" t="s">
        <v>757</v>
      </c>
      <c r="B137" s="85" t="s">
        <v>74</v>
      </c>
      <c r="C137" s="88" t="s">
        <v>337</v>
      </c>
      <c r="D137" s="88" t="s">
        <v>758</v>
      </c>
      <c r="E137" s="85" t="str">
        <f t="shared" si="2"/>
        <v>GP</v>
      </c>
      <c r="F137" s="1">
        <v>38000.0</v>
      </c>
    </row>
    <row r="138">
      <c r="A138" s="83" t="s">
        <v>759</v>
      </c>
      <c r="B138" s="85" t="s">
        <v>74</v>
      </c>
      <c r="C138" s="87" t="s">
        <v>334</v>
      </c>
      <c r="D138" s="87" t="s">
        <v>760</v>
      </c>
      <c r="E138" s="85" t="str">
        <f t="shared" si="2"/>
        <v>IX</v>
      </c>
      <c r="F138" s="84">
        <v>71700.0</v>
      </c>
    </row>
    <row r="139">
      <c r="A139" s="85" t="s">
        <v>761</v>
      </c>
      <c r="B139" s="85" t="s">
        <v>74</v>
      </c>
      <c r="C139" s="88" t="s">
        <v>337</v>
      </c>
      <c r="D139" s="88" t="s">
        <v>762</v>
      </c>
      <c r="E139" s="85" t="str">
        <f t="shared" si="2"/>
        <v>GP</v>
      </c>
      <c r="F139" s="84">
        <v>39100.0</v>
      </c>
    </row>
    <row r="140">
      <c r="A140" s="85" t="s">
        <v>763</v>
      </c>
      <c r="B140" s="85" t="s">
        <v>74</v>
      </c>
      <c r="C140" s="87" t="s">
        <v>337</v>
      </c>
      <c r="D140" s="87" t="s">
        <v>764</v>
      </c>
      <c r="E140" s="85" t="str">
        <f t="shared" si="2"/>
        <v>GP</v>
      </c>
      <c r="F140" s="84">
        <v>39100.0</v>
      </c>
    </row>
    <row r="141">
      <c r="A141" s="85" t="s">
        <v>765</v>
      </c>
      <c r="B141" s="85" t="s">
        <v>74</v>
      </c>
      <c r="C141" s="88" t="s">
        <v>337</v>
      </c>
      <c r="D141" s="88" t="s">
        <v>766</v>
      </c>
      <c r="E141" s="85" t="str">
        <f t="shared" si="2"/>
        <v>GP</v>
      </c>
      <c r="F141" s="84">
        <v>39100.0</v>
      </c>
    </row>
    <row r="142">
      <c r="A142" s="89" t="s">
        <v>767</v>
      </c>
      <c r="B142" s="85" t="s">
        <v>74</v>
      </c>
      <c r="C142" s="88" t="s">
        <v>337</v>
      </c>
      <c r="D142" s="90" t="s">
        <v>768</v>
      </c>
      <c r="E142" s="85" t="str">
        <f t="shared" si="2"/>
        <v>GP</v>
      </c>
      <c r="F142" s="84">
        <v>39100.0</v>
      </c>
    </row>
    <row r="143">
      <c r="A143" s="85" t="s">
        <v>769</v>
      </c>
      <c r="B143" s="85" t="s">
        <v>74</v>
      </c>
      <c r="C143" s="87" t="s">
        <v>334</v>
      </c>
      <c r="D143" s="91" t="s">
        <v>33</v>
      </c>
      <c r="E143" s="85" t="str">
        <f t="shared" si="2"/>
        <v>IX</v>
      </c>
      <c r="F143" s="84">
        <v>71700.0</v>
      </c>
    </row>
    <row r="144">
      <c r="A144" s="85" t="s">
        <v>770</v>
      </c>
      <c r="B144" s="85" t="s">
        <v>74</v>
      </c>
      <c r="C144" s="88" t="s">
        <v>535</v>
      </c>
      <c r="D144" s="88" t="s">
        <v>771</v>
      </c>
      <c r="E144" s="85" t="str">
        <f t="shared" si="2"/>
        <v>IX</v>
      </c>
      <c r="F144" s="84">
        <v>179500.0</v>
      </c>
    </row>
    <row r="145">
      <c r="A145" s="82" t="s">
        <v>772</v>
      </c>
      <c r="B145" s="82" t="s">
        <v>74</v>
      </c>
      <c r="C145" s="82" t="s">
        <v>337</v>
      </c>
      <c r="D145" s="82" t="s">
        <v>773</v>
      </c>
      <c r="E145" s="83" t="str">
        <f t="shared" si="2"/>
        <v>GP</v>
      </c>
      <c r="F145" s="84">
        <v>38000.0</v>
      </c>
    </row>
    <row r="146">
      <c r="A146" s="85" t="s">
        <v>774</v>
      </c>
      <c r="B146" s="85" t="s">
        <v>74</v>
      </c>
      <c r="C146" s="87" t="s">
        <v>334</v>
      </c>
      <c r="D146" s="87" t="s">
        <v>775</v>
      </c>
      <c r="E146" s="85" t="str">
        <f t="shared" si="2"/>
        <v>IX</v>
      </c>
      <c r="F146" s="84">
        <v>71700.0</v>
      </c>
    </row>
    <row r="147">
      <c r="A147" s="85" t="s">
        <v>776</v>
      </c>
      <c r="B147" s="85" t="s">
        <v>74</v>
      </c>
      <c r="C147" s="88" t="s">
        <v>181</v>
      </c>
      <c r="D147" s="88" t="s">
        <v>777</v>
      </c>
      <c r="E147" s="85" t="str">
        <f t="shared" si="2"/>
        <v>IX</v>
      </c>
      <c r="F147" s="84">
        <v>150700.0</v>
      </c>
    </row>
    <row r="148">
      <c r="A148" s="82" t="s">
        <v>778</v>
      </c>
      <c r="B148" s="85" t="s">
        <v>74</v>
      </c>
      <c r="C148" s="88" t="s">
        <v>181</v>
      </c>
      <c r="D148" s="90" t="s">
        <v>779</v>
      </c>
      <c r="E148" s="85" t="str">
        <f t="shared" si="2"/>
        <v>IX</v>
      </c>
      <c r="F148" s="84">
        <v>150700.0</v>
      </c>
    </row>
    <row r="149">
      <c r="A149" s="85" t="s">
        <v>780</v>
      </c>
      <c r="B149" s="85" t="s">
        <v>74</v>
      </c>
      <c r="C149" s="87" t="s">
        <v>181</v>
      </c>
      <c r="D149" s="87" t="s">
        <v>781</v>
      </c>
      <c r="E149" s="85" t="str">
        <f t="shared" si="2"/>
        <v>IX</v>
      </c>
      <c r="F149" s="84">
        <v>150700.0</v>
      </c>
    </row>
    <row r="150">
      <c r="A150" s="85" t="s">
        <v>782</v>
      </c>
      <c r="B150" s="85" t="s">
        <v>74</v>
      </c>
      <c r="C150" s="88" t="s">
        <v>181</v>
      </c>
      <c r="D150" s="88" t="s">
        <v>783</v>
      </c>
      <c r="E150" s="85" t="str">
        <f t="shared" si="2"/>
        <v>IX</v>
      </c>
      <c r="F150" s="84">
        <v>150700.0</v>
      </c>
    </row>
    <row r="151">
      <c r="A151" s="85" t="s">
        <v>784</v>
      </c>
      <c r="B151" s="85" t="s">
        <v>74</v>
      </c>
      <c r="C151" s="87" t="s">
        <v>535</v>
      </c>
      <c r="D151" s="87" t="s">
        <v>785</v>
      </c>
      <c r="E151" s="85" t="str">
        <f t="shared" si="2"/>
        <v>IX</v>
      </c>
      <c r="F151" s="84">
        <v>114500.0</v>
      </c>
    </row>
    <row r="152">
      <c r="A152" s="85" t="s">
        <v>786</v>
      </c>
      <c r="B152" s="85" t="s">
        <v>74</v>
      </c>
      <c r="C152" s="88" t="s">
        <v>535</v>
      </c>
      <c r="D152" s="88" t="s">
        <v>787</v>
      </c>
      <c r="E152" s="85" t="str">
        <f t="shared" si="2"/>
        <v>IX</v>
      </c>
      <c r="F152" s="84">
        <v>114500.0</v>
      </c>
    </row>
    <row r="153">
      <c r="A153" s="89" t="s">
        <v>788</v>
      </c>
      <c r="B153" s="85" t="s">
        <v>74</v>
      </c>
      <c r="C153" s="88" t="s">
        <v>535</v>
      </c>
      <c r="D153" s="90" t="s">
        <v>789</v>
      </c>
      <c r="E153" s="85" t="str">
        <f t="shared" si="2"/>
        <v>IX</v>
      </c>
      <c r="F153" s="84">
        <v>114500.0</v>
      </c>
    </row>
    <row r="154">
      <c r="A154" s="82" t="s">
        <v>790</v>
      </c>
      <c r="B154" s="85" t="s">
        <v>74</v>
      </c>
      <c r="C154" s="91" t="s">
        <v>334</v>
      </c>
      <c r="D154" s="91" t="s">
        <v>791</v>
      </c>
      <c r="E154" s="85" t="str">
        <f t="shared" si="2"/>
        <v>IX</v>
      </c>
      <c r="F154" s="84">
        <v>71700.0</v>
      </c>
    </row>
    <row r="155">
      <c r="A155" s="82" t="s">
        <v>792</v>
      </c>
      <c r="B155" s="85" t="s">
        <v>74</v>
      </c>
      <c r="C155" s="91" t="s">
        <v>334</v>
      </c>
      <c r="D155" s="91" t="s">
        <v>793</v>
      </c>
      <c r="E155" s="85" t="str">
        <f t="shared" si="2"/>
        <v>IX</v>
      </c>
      <c r="F155" s="84">
        <v>71700.0</v>
      </c>
    </row>
    <row r="156">
      <c r="A156" s="82" t="s">
        <v>794</v>
      </c>
      <c r="B156" s="83" t="s">
        <v>74</v>
      </c>
      <c r="C156" s="83" t="s">
        <v>535</v>
      </c>
      <c r="D156" s="82" t="s">
        <v>73</v>
      </c>
      <c r="E156" s="83" t="str">
        <f t="shared" si="2"/>
        <v>IX</v>
      </c>
      <c r="F156" s="92">
        <v>150700.0</v>
      </c>
    </row>
    <row r="157">
      <c r="A157" s="85" t="s">
        <v>795</v>
      </c>
      <c r="B157" s="85" t="s">
        <v>74</v>
      </c>
      <c r="C157" s="87" t="s">
        <v>535</v>
      </c>
      <c r="D157" s="87" t="s">
        <v>796</v>
      </c>
      <c r="E157" s="85" t="str">
        <f t="shared" si="2"/>
        <v>IX</v>
      </c>
      <c r="F157" s="84">
        <v>114500.0</v>
      </c>
    </row>
    <row r="158">
      <c r="A158" s="89" t="s">
        <v>797</v>
      </c>
      <c r="B158" s="89" t="s">
        <v>74</v>
      </c>
      <c r="C158" s="90" t="s">
        <v>535</v>
      </c>
      <c r="D158" s="90" t="s">
        <v>63</v>
      </c>
      <c r="E158" s="85" t="str">
        <f t="shared" si="2"/>
        <v>IX</v>
      </c>
      <c r="F158" s="1">
        <v>114500.0</v>
      </c>
    </row>
    <row r="159">
      <c r="A159" s="85" t="s">
        <v>798</v>
      </c>
      <c r="B159" s="85" t="s">
        <v>74</v>
      </c>
      <c r="C159" s="88" t="s">
        <v>330</v>
      </c>
      <c r="D159" s="88" t="s">
        <v>799</v>
      </c>
      <c r="E159" s="85" t="str">
        <f t="shared" si="2"/>
        <v>IX</v>
      </c>
      <c r="F159" s="1">
        <v>403000.0</v>
      </c>
    </row>
    <row r="160">
      <c r="A160" s="85" t="s">
        <v>800</v>
      </c>
      <c r="B160" s="85" t="s">
        <v>74</v>
      </c>
      <c r="C160" s="87" t="s">
        <v>330</v>
      </c>
      <c r="D160" s="87" t="s">
        <v>801</v>
      </c>
      <c r="E160" s="85" t="str">
        <f t="shared" si="2"/>
        <v>IX</v>
      </c>
      <c r="F160" s="1">
        <v>403000.0</v>
      </c>
    </row>
    <row r="161">
      <c r="A161" s="100" t="s">
        <v>802</v>
      </c>
      <c r="B161" s="85" t="s">
        <v>74</v>
      </c>
      <c r="C161" s="88" t="s">
        <v>330</v>
      </c>
      <c r="D161" s="88" t="s">
        <v>803</v>
      </c>
      <c r="E161" s="85" t="str">
        <f t="shared" si="2"/>
        <v>IX</v>
      </c>
      <c r="F161" s="1">
        <v>372000.0</v>
      </c>
    </row>
    <row r="162">
      <c r="A162" s="85" t="s">
        <v>804</v>
      </c>
      <c r="B162" s="85" t="s">
        <v>74</v>
      </c>
      <c r="C162" s="87" t="s">
        <v>181</v>
      </c>
      <c r="D162" s="87" t="s">
        <v>805</v>
      </c>
      <c r="E162" s="85" t="str">
        <f t="shared" si="2"/>
        <v>IX</v>
      </c>
      <c r="F162" s="1">
        <v>372000.0</v>
      </c>
    </row>
    <row r="163">
      <c r="A163" s="85" t="s">
        <v>806</v>
      </c>
      <c r="B163" s="85" t="s">
        <v>74</v>
      </c>
      <c r="C163" s="88" t="s">
        <v>181</v>
      </c>
      <c r="D163" s="82" t="s">
        <v>807</v>
      </c>
      <c r="E163" s="85" t="str">
        <f t="shared" si="2"/>
        <v>IX</v>
      </c>
      <c r="F163" s="84">
        <v>150700.0</v>
      </c>
    </row>
    <row r="164">
      <c r="A164" s="89" t="s">
        <v>808</v>
      </c>
      <c r="B164" s="89" t="s">
        <v>74</v>
      </c>
      <c r="C164" s="91" t="s">
        <v>181</v>
      </c>
      <c r="D164" s="91" t="s">
        <v>62</v>
      </c>
      <c r="E164" s="85" t="str">
        <f t="shared" si="2"/>
        <v>IX</v>
      </c>
      <c r="F164" s="6">
        <v>150700.0</v>
      </c>
    </row>
    <row r="165">
      <c r="A165" s="82" t="s">
        <v>809</v>
      </c>
      <c r="B165" s="82" t="s">
        <v>74</v>
      </c>
      <c r="C165" s="82" t="s">
        <v>181</v>
      </c>
      <c r="D165" s="82" t="s">
        <v>75</v>
      </c>
      <c r="E165" s="83" t="str">
        <f t="shared" si="2"/>
        <v>IX</v>
      </c>
      <c r="F165" s="92">
        <v>150700.0</v>
      </c>
    </row>
    <row r="166">
      <c r="A166" s="85" t="s">
        <v>810</v>
      </c>
      <c r="B166" s="85" t="s">
        <v>74</v>
      </c>
      <c r="C166" s="87" t="s">
        <v>181</v>
      </c>
      <c r="D166" s="87" t="s">
        <v>811</v>
      </c>
      <c r="E166" s="85" t="str">
        <f t="shared" si="2"/>
        <v>IX</v>
      </c>
      <c r="F166" s="84">
        <v>150700.0</v>
      </c>
    </row>
    <row r="167">
      <c r="A167" s="89" t="s">
        <v>812</v>
      </c>
      <c r="B167" s="85" t="s">
        <v>74</v>
      </c>
      <c r="C167" s="87" t="s">
        <v>181</v>
      </c>
      <c r="D167" s="91" t="s">
        <v>813</v>
      </c>
      <c r="E167" s="85" t="str">
        <f t="shared" si="2"/>
        <v>IX</v>
      </c>
      <c r="F167" s="84">
        <v>150700.0</v>
      </c>
    </row>
    <row r="168">
      <c r="A168" s="88" t="s">
        <v>814</v>
      </c>
      <c r="B168" s="85" t="s">
        <v>74</v>
      </c>
      <c r="C168" s="88" t="s">
        <v>181</v>
      </c>
      <c r="D168" s="88" t="s">
        <v>815</v>
      </c>
      <c r="E168" s="85" t="str">
        <f t="shared" si="2"/>
        <v>IX</v>
      </c>
      <c r="F168" s="84">
        <v>150700.0</v>
      </c>
    </row>
    <row r="169">
      <c r="A169" s="85" t="s">
        <v>816</v>
      </c>
      <c r="B169" s="85" t="s">
        <v>74</v>
      </c>
      <c r="C169" s="87" t="s">
        <v>181</v>
      </c>
      <c r="D169" s="87" t="s">
        <v>817</v>
      </c>
      <c r="E169" s="85" t="str">
        <f t="shared" si="2"/>
        <v>IX</v>
      </c>
      <c r="F169" s="84">
        <v>150700.0</v>
      </c>
    </row>
    <row r="170">
      <c r="A170" s="83" t="s">
        <v>818</v>
      </c>
      <c r="B170" s="85" t="s">
        <v>74</v>
      </c>
      <c r="C170" s="88" t="s">
        <v>181</v>
      </c>
      <c r="D170" s="88" t="s">
        <v>819</v>
      </c>
      <c r="E170" s="85" t="str">
        <f t="shared" si="2"/>
        <v>IX</v>
      </c>
      <c r="F170" s="1">
        <v>150700.0</v>
      </c>
    </row>
    <row r="171">
      <c r="A171" s="85" t="s">
        <v>820</v>
      </c>
      <c r="B171" s="85" t="s">
        <v>74</v>
      </c>
      <c r="C171" s="87" t="s">
        <v>181</v>
      </c>
      <c r="D171" s="87" t="s">
        <v>821</v>
      </c>
      <c r="E171" s="85" t="str">
        <f t="shared" si="2"/>
        <v>IX</v>
      </c>
      <c r="F171" s="84">
        <v>150700.0</v>
      </c>
    </row>
    <row r="172">
      <c r="A172" s="85" t="s">
        <v>822</v>
      </c>
      <c r="B172" s="85" t="s">
        <v>74</v>
      </c>
      <c r="C172" s="88" t="s">
        <v>181</v>
      </c>
      <c r="D172" s="88" t="s">
        <v>823</v>
      </c>
      <c r="E172" s="85" t="str">
        <f t="shared" si="2"/>
        <v>IX</v>
      </c>
      <c r="F172" s="84">
        <v>150700.0</v>
      </c>
    </row>
    <row r="173">
      <c r="A173" s="82" t="s">
        <v>824</v>
      </c>
      <c r="B173" s="85" t="s">
        <v>74</v>
      </c>
      <c r="C173" s="88" t="s">
        <v>181</v>
      </c>
      <c r="D173" s="90" t="s">
        <v>825</v>
      </c>
      <c r="E173" s="85" t="str">
        <f t="shared" si="2"/>
        <v>IX</v>
      </c>
      <c r="F173" s="84">
        <v>150700.0</v>
      </c>
    </row>
    <row r="174">
      <c r="A174" s="85" t="s">
        <v>826</v>
      </c>
      <c r="B174" s="85" t="s">
        <v>74</v>
      </c>
      <c r="C174" s="87" t="s">
        <v>181</v>
      </c>
      <c r="D174" s="87" t="s">
        <v>827</v>
      </c>
      <c r="E174" s="85" t="str">
        <f t="shared" si="2"/>
        <v>IX</v>
      </c>
      <c r="F174" s="84">
        <v>150700.0</v>
      </c>
    </row>
    <row r="175">
      <c r="A175" s="82" t="s">
        <v>52</v>
      </c>
      <c r="B175" s="85" t="s">
        <v>74</v>
      </c>
      <c r="C175" s="90" t="s">
        <v>337</v>
      </c>
      <c r="D175" s="90" t="s">
        <v>53</v>
      </c>
      <c r="E175" s="85" t="str">
        <f t="shared" si="2"/>
        <v>GP</v>
      </c>
      <c r="F175" s="84">
        <v>26800.0</v>
      </c>
    </row>
    <row r="176">
      <c r="A176" s="85" t="s">
        <v>828</v>
      </c>
      <c r="B176" s="85" t="s">
        <v>74</v>
      </c>
      <c r="C176" s="88" t="s">
        <v>337</v>
      </c>
      <c r="D176" s="88" t="s">
        <v>829</v>
      </c>
      <c r="E176" s="85" t="str">
        <f t="shared" si="2"/>
        <v>GP</v>
      </c>
      <c r="F176" s="84">
        <v>26800.0</v>
      </c>
    </row>
    <row r="177">
      <c r="A177" s="85" t="s">
        <v>830</v>
      </c>
      <c r="B177" s="85" t="s">
        <v>74</v>
      </c>
      <c r="C177" s="87" t="s">
        <v>334</v>
      </c>
      <c r="D177" s="87" t="s">
        <v>831</v>
      </c>
      <c r="E177" s="85" t="str">
        <f t="shared" si="2"/>
        <v>IX</v>
      </c>
      <c r="F177" s="84">
        <v>71700.0</v>
      </c>
    </row>
    <row r="178">
      <c r="A178" s="85" t="s">
        <v>832</v>
      </c>
      <c r="B178" s="85" t="s">
        <v>74</v>
      </c>
      <c r="C178" s="88" t="s">
        <v>337</v>
      </c>
      <c r="D178" s="88" t="s">
        <v>833</v>
      </c>
      <c r="E178" s="85" t="str">
        <f t="shared" si="2"/>
        <v>GP</v>
      </c>
      <c r="F178" s="84">
        <v>26800.0</v>
      </c>
    </row>
    <row r="179">
      <c r="A179" s="85" t="s">
        <v>834</v>
      </c>
      <c r="B179" s="85" t="s">
        <v>74</v>
      </c>
      <c r="C179" s="87" t="s">
        <v>337</v>
      </c>
      <c r="D179" s="87" t="s">
        <v>835</v>
      </c>
      <c r="E179" s="85" t="str">
        <f t="shared" si="2"/>
        <v>GP</v>
      </c>
      <c r="F179" s="84">
        <v>26800.0</v>
      </c>
    </row>
    <row r="180">
      <c r="A180" s="85" t="s">
        <v>836</v>
      </c>
      <c r="B180" s="85" t="s">
        <v>74</v>
      </c>
      <c r="C180" s="88" t="s">
        <v>334</v>
      </c>
      <c r="D180" s="88" t="s">
        <v>837</v>
      </c>
      <c r="E180" s="85" t="str">
        <f t="shared" si="2"/>
        <v>IX</v>
      </c>
      <c r="F180" s="84">
        <v>71700.0</v>
      </c>
    </row>
    <row r="181">
      <c r="A181" s="85" t="s">
        <v>838</v>
      </c>
      <c r="B181" s="85" t="s">
        <v>74</v>
      </c>
      <c r="C181" s="87" t="s">
        <v>337</v>
      </c>
      <c r="D181" s="87" t="s">
        <v>839</v>
      </c>
      <c r="E181" s="85" t="str">
        <f t="shared" si="2"/>
        <v>GP</v>
      </c>
      <c r="F181" s="84">
        <v>26800.0</v>
      </c>
    </row>
    <row r="182">
      <c r="A182" s="85" t="s">
        <v>840</v>
      </c>
      <c r="B182" s="85" t="s">
        <v>74</v>
      </c>
      <c r="C182" s="88" t="s">
        <v>334</v>
      </c>
      <c r="D182" s="88" t="s">
        <v>841</v>
      </c>
      <c r="E182" s="85" t="str">
        <f t="shared" si="2"/>
        <v>IX</v>
      </c>
      <c r="F182" s="84">
        <v>71700.0</v>
      </c>
    </row>
    <row r="183">
      <c r="A183" s="85" t="s">
        <v>842</v>
      </c>
      <c r="B183" s="85" t="s">
        <v>74</v>
      </c>
      <c r="C183" s="87" t="s">
        <v>330</v>
      </c>
      <c r="D183" s="87" t="s">
        <v>843</v>
      </c>
      <c r="E183" s="85" t="str">
        <f t="shared" si="2"/>
        <v>IX</v>
      </c>
      <c r="F183" s="1">
        <v>372000.0</v>
      </c>
    </row>
    <row r="184">
      <c r="A184" s="85" t="s">
        <v>844</v>
      </c>
      <c r="B184" s="85" t="s">
        <v>74</v>
      </c>
      <c r="C184" s="88" t="s">
        <v>330</v>
      </c>
      <c r="D184" s="88" t="s">
        <v>845</v>
      </c>
      <c r="E184" s="85" t="str">
        <f t="shared" si="2"/>
        <v>IX</v>
      </c>
      <c r="F184" s="1">
        <v>372000.0</v>
      </c>
    </row>
    <row r="185">
      <c r="A185" s="85" t="s">
        <v>846</v>
      </c>
      <c r="B185" s="85" t="s">
        <v>74</v>
      </c>
      <c r="C185" s="87" t="s">
        <v>330</v>
      </c>
      <c r="D185" s="87" t="s">
        <v>847</v>
      </c>
      <c r="E185" s="85" t="str">
        <f t="shared" si="2"/>
        <v>IX</v>
      </c>
      <c r="F185" s="1">
        <v>372000.0</v>
      </c>
    </row>
    <row r="186">
      <c r="A186" s="85" t="s">
        <v>848</v>
      </c>
      <c r="B186" s="85" t="s">
        <v>74</v>
      </c>
      <c r="C186" s="88" t="s">
        <v>330</v>
      </c>
      <c r="D186" s="88" t="s">
        <v>849</v>
      </c>
      <c r="E186" s="85" t="str">
        <f t="shared" si="2"/>
        <v>IX</v>
      </c>
      <c r="F186" s="1">
        <v>372000.0</v>
      </c>
    </row>
    <row r="187">
      <c r="A187" s="85" t="s">
        <v>850</v>
      </c>
      <c r="B187" s="85" t="s">
        <v>74</v>
      </c>
      <c r="C187" s="87" t="s">
        <v>330</v>
      </c>
      <c r="D187" s="87" t="s">
        <v>851</v>
      </c>
      <c r="E187" s="85" t="str">
        <f t="shared" si="2"/>
        <v>IX</v>
      </c>
      <c r="F187" s="1">
        <v>372000.0</v>
      </c>
    </row>
    <row r="188">
      <c r="A188" s="85" t="s">
        <v>852</v>
      </c>
      <c r="B188" s="85" t="s">
        <v>74</v>
      </c>
      <c r="C188" s="88" t="s">
        <v>330</v>
      </c>
      <c r="D188" s="88" t="s">
        <v>853</v>
      </c>
      <c r="E188" s="85" t="str">
        <f t="shared" si="2"/>
        <v>IX</v>
      </c>
      <c r="F188" s="1">
        <v>504000.0</v>
      </c>
    </row>
    <row r="189">
      <c r="A189" s="85" t="s">
        <v>854</v>
      </c>
      <c r="B189" s="85" t="s">
        <v>74</v>
      </c>
      <c r="C189" s="87" t="s">
        <v>330</v>
      </c>
      <c r="D189" s="87" t="s">
        <v>855</v>
      </c>
      <c r="E189" s="85" t="str">
        <f t="shared" si="2"/>
        <v>IX</v>
      </c>
      <c r="F189" s="1">
        <v>504000.0</v>
      </c>
    </row>
    <row r="190">
      <c r="A190" s="85" t="s">
        <v>856</v>
      </c>
      <c r="B190" s="85" t="s">
        <v>74</v>
      </c>
      <c r="C190" s="88" t="s">
        <v>181</v>
      </c>
      <c r="D190" s="88" t="s">
        <v>857</v>
      </c>
      <c r="E190" s="85" t="str">
        <f t="shared" si="2"/>
        <v>IX</v>
      </c>
      <c r="F190" s="84">
        <v>623500.0</v>
      </c>
    </row>
    <row r="191">
      <c r="A191" s="83" t="s">
        <v>858</v>
      </c>
      <c r="B191" s="85" t="s">
        <v>74</v>
      </c>
      <c r="C191" s="87" t="s">
        <v>181</v>
      </c>
      <c r="D191" s="82" t="s">
        <v>26</v>
      </c>
      <c r="E191" s="85" t="str">
        <f t="shared" si="2"/>
        <v>IX</v>
      </c>
      <c r="F191" s="84">
        <v>150700.0</v>
      </c>
    </row>
    <row r="192">
      <c r="A192" s="83" t="s">
        <v>859</v>
      </c>
      <c r="B192" s="85" t="s">
        <v>74</v>
      </c>
      <c r="C192" s="88" t="s">
        <v>181</v>
      </c>
      <c r="D192" s="88" t="s">
        <v>860</v>
      </c>
      <c r="E192" s="85" t="str">
        <f t="shared" si="2"/>
        <v>IX</v>
      </c>
      <c r="F192" s="1">
        <v>150700.0</v>
      </c>
    </row>
    <row r="193">
      <c r="A193" s="83" t="s">
        <v>861</v>
      </c>
      <c r="B193" s="85" t="s">
        <v>74</v>
      </c>
      <c r="C193" s="87" t="s">
        <v>181</v>
      </c>
      <c r="D193" s="82" t="s">
        <v>862</v>
      </c>
      <c r="E193" s="85" t="str">
        <f t="shared" si="2"/>
        <v>IX</v>
      </c>
      <c r="F193" s="84">
        <v>246200.0</v>
      </c>
    </row>
    <row r="194">
      <c r="A194" s="83" t="s">
        <v>863</v>
      </c>
      <c r="B194" s="85" t="s">
        <v>74</v>
      </c>
      <c r="C194" s="88" t="s">
        <v>334</v>
      </c>
      <c r="D194" s="82" t="s">
        <v>31</v>
      </c>
      <c r="E194" s="85" t="str">
        <f t="shared" si="2"/>
        <v>IX</v>
      </c>
      <c r="F194" s="1">
        <v>71700.0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8.38"/>
    <col customWidth="1" min="3" max="3" width="7.63"/>
    <col customWidth="1" min="4" max="4" width="15.75"/>
    <col customWidth="1" min="5" max="5" width="14.38"/>
  </cols>
  <sheetData>
    <row r="1">
      <c r="A1" s="123" t="s">
        <v>182</v>
      </c>
      <c r="B1" s="123" t="s">
        <v>174</v>
      </c>
      <c r="C1" s="123" t="s">
        <v>175</v>
      </c>
      <c r="D1" s="123" t="s">
        <v>176</v>
      </c>
      <c r="E1" s="124" t="s">
        <v>183</v>
      </c>
      <c r="F1" s="1" t="s">
        <v>1142</v>
      </c>
    </row>
    <row r="2">
      <c r="A2" s="125" t="s">
        <v>442</v>
      </c>
      <c r="B2" s="97" t="s">
        <v>74</v>
      </c>
      <c r="C2" s="125" t="s">
        <v>181</v>
      </c>
      <c r="D2" s="125" t="s">
        <v>443</v>
      </c>
      <c r="E2" s="125" t="str">
        <f t="shared" ref="E2:E67" si="1">if(C2="YL","Ni",if(C2="GP","GP",if(C2="RACING","IX",if(C2="IL","IX",if(C2="IX","IX",if(C2="PL","IX","NONE"))))))</f>
        <v>IX</v>
      </c>
      <c r="F2" s="84">
        <v>150700.0</v>
      </c>
    </row>
    <row r="3">
      <c r="A3" s="85" t="s">
        <v>503</v>
      </c>
      <c r="B3" s="85" t="s">
        <v>504</v>
      </c>
      <c r="C3" s="88" t="s">
        <v>186</v>
      </c>
      <c r="D3" s="88" t="s">
        <v>505</v>
      </c>
      <c r="E3" s="85" t="str">
        <f t="shared" si="1"/>
        <v>Ni</v>
      </c>
      <c r="F3" s="84">
        <v>15900.0</v>
      </c>
    </row>
    <row r="4">
      <c r="A4" s="85" t="s">
        <v>506</v>
      </c>
      <c r="B4" s="85" t="s">
        <v>504</v>
      </c>
      <c r="C4" s="87" t="s">
        <v>186</v>
      </c>
      <c r="D4" s="87" t="s">
        <v>507</v>
      </c>
      <c r="E4" s="85" t="str">
        <f t="shared" si="1"/>
        <v>Ni</v>
      </c>
      <c r="F4" s="84">
        <v>15900.0</v>
      </c>
    </row>
    <row r="5">
      <c r="A5" s="85" t="s">
        <v>508</v>
      </c>
      <c r="B5" s="85" t="s">
        <v>504</v>
      </c>
      <c r="C5" s="88" t="s">
        <v>186</v>
      </c>
      <c r="D5" s="88" t="s">
        <v>509</v>
      </c>
      <c r="E5" s="85" t="str">
        <f t="shared" si="1"/>
        <v>Ni</v>
      </c>
      <c r="F5" s="84">
        <v>43750.0</v>
      </c>
    </row>
    <row r="6">
      <c r="A6" s="89" t="s">
        <v>510</v>
      </c>
      <c r="B6" s="85" t="s">
        <v>504</v>
      </c>
      <c r="C6" s="88" t="s">
        <v>186</v>
      </c>
      <c r="D6" s="90" t="s">
        <v>511</v>
      </c>
      <c r="E6" s="85" t="str">
        <f t="shared" si="1"/>
        <v>Ni</v>
      </c>
      <c r="F6" s="84">
        <v>43750.0</v>
      </c>
    </row>
    <row r="7">
      <c r="A7" s="85" t="s">
        <v>512</v>
      </c>
      <c r="B7" s="85" t="s">
        <v>504</v>
      </c>
      <c r="C7" s="87" t="s">
        <v>186</v>
      </c>
      <c r="D7" s="87" t="s">
        <v>513</v>
      </c>
      <c r="E7" s="85" t="str">
        <f t="shared" si="1"/>
        <v>Ni</v>
      </c>
      <c r="F7" s="84">
        <v>15900.0</v>
      </c>
    </row>
    <row r="8">
      <c r="A8" s="85" t="s">
        <v>514</v>
      </c>
      <c r="B8" s="85" t="s">
        <v>504</v>
      </c>
      <c r="C8" s="88" t="s">
        <v>186</v>
      </c>
      <c r="D8" s="88" t="s">
        <v>515</v>
      </c>
      <c r="E8" s="85" t="str">
        <f t="shared" si="1"/>
        <v>Ni</v>
      </c>
      <c r="F8" s="84">
        <v>12500.0</v>
      </c>
    </row>
    <row r="9">
      <c r="A9" s="85" t="s">
        <v>516</v>
      </c>
      <c r="B9" s="85" t="s">
        <v>504</v>
      </c>
      <c r="C9" s="87" t="s">
        <v>186</v>
      </c>
      <c r="D9" s="87" t="s">
        <v>517</v>
      </c>
      <c r="E9" s="85" t="str">
        <f t="shared" si="1"/>
        <v>Ni</v>
      </c>
      <c r="F9" s="84">
        <v>13200.0</v>
      </c>
    </row>
    <row r="10">
      <c r="A10" s="85" t="s">
        <v>518</v>
      </c>
      <c r="B10" s="85" t="s">
        <v>504</v>
      </c>
      <c r="C10" s="88" t="s">
        <v>186</v>
      </c>
      <c r="D10" s="88" t="s">
        <v>519</v>
      </c>
      <c r="E10" s="85" t="str">
        <f t="shared" si="1"/>
        <v>Ni</v>
      </c>
      <c r="F10" s="84">
        <v>13200.0</v>
      </c>
    </row>
    <row r="11">
      <c r="A11" s="85" t="s">
        <v>520</v>
      </c>
      <c r="B11" s="85" t="s">
        <v>504</v>
      </c>
      <c r="C11" s="87" t="s">
        <v>186</v>
      </c>
      <c r="D11" s="87" t="s">
        <v>521</v>
      </c>
      <c r="E11" s="85" t="str">
        <f t="shared" si="1"/>
        <v>Ni</v>
      </c>
      <c r="F11" s="84">
        <v>13200.0</v>
      </c>
    </row>
    <row r="12">
      <c r="A12" s="85" t="s">
        <v>522</v>
      </c>
      <c r="B12" s="85" t="s">
        <v>504</v>
      </c>
      <c r="C12" s="88" t="s">
        <v>186</v>
      </c>
      <c r="D12" s="88" t="s">
        <v>523</v>
      </c>
      <c r="E12" s="85" t="str">
        <f t="shared" si="1"/>
        <v>Ni</v>
      </c>
      <c r="F12" s="84">
        <v>13200.0</v>
      </c>
    </row>
    <row r="13">
      <c r="A13" s="85" t="s">
        <v>524</v>
      </c>
      <c r="B13" s="85" t="s">
        <v>504</v>
      </c>
      <c r="C13" s="87" t="s">
        <v>186</v>
      </c>
      <c r="D13" s="87" t="s">
        <v>525</v>
      </c>
      <c r="E13" s="85" t="str">
        <f t="shared" si="1"/>
        <v>Ni</v>
      </c>
      <c r="F13" s="84">
        <v>13200.0</v>
      </c>
    </row>
    <row r="14">
      <c r="A14" s="85" t="s">
        <v>526</v>
      </c>
      <c r="B14" s="85" t="s">
        <v>504</v>
      </c>
      <c r="C14" s="88" t="s">
        <v>186</v>
      </c>
      <c r="D14" s="88" t="s">
        <v>527</v>
      </c>
      <c r="E14" s="85" t="str">
        <f t="shared" si="1"/>
        <v>Ni</v>
      </c>
      <c r="F14" s="84">
        <v>15900.0</v>
      </c>
    </row>
    <row r="15">
      <c r="A15" s="85" t="s">
        <v>528</v>
      </c>
      <c r="B15" s="85" t="s">
        <v>504</v>
      </c>
      <c r="C15" s="87" t="s">
        <v>186</v>
      </c>
      <c r="D15" s="87" t="s">
        <v>529</v>
      </c>
      <c r="E15" s="85" t="str">
        <f t="shared" si="1"/>
        <v>Ni</v>
      </c>
      <c r="F15" s="84">
        <v>13200.0</v>
      </c>
    </row>
    <row r="16">
      <c r="A16" s="85" t="s">
        <v>530</v>
      </c>
      <c r="B16" s="85" t="s">
        <v>504</v>
      </c>
      <c r="C16" s="88" t="s">
        <v>186</v>
      </c>
      <c r="D16" s="88" t="s">
        <v>531</v>
      </c>
      <c r="E16" s="85" t="str">
        <f t="shared" si="1"/>
        <v>Ni</v>
      </c>
      <c r="F16" s="84">
        <v>13200.0</v>
      </c>
    </row>
    <row r="17">
      <c r="A17" s="85" t="s">
        <v>532</v>
      </c>
      <c r="B17" s="85" t="s">
        <v>504</v>
      </c>
      <c r="C17" s="87" t="s">
        <v>186</v>
      </c>
      <c r="D17" s="87" t="s">
        <v>533</v>
      </c>
      <c r="E17" s="85" t="str">
        <f t="shared" si="1"/>
        <v>Ni</v>
      </c>
      <c r="F17" s="84">
        <v>49000.0</v>
      </c>
    </row>
    <row r="18">
      <c r="A18" s="82" t="s">
        <v>534</v>
      </c>
      <c r="B18" s="82" t="s">
        <v>74</v>
      </c>
      <c r="C18" s="82" t="s">
        <v>535</v>
      </c>
      <c r="D18" s="82" t="s">
        <v>22</v>
      </c>
      <c r="E18" s="95" t="str">
        <f t="shared" si="1"/>
        <v>IX</v>
      </c>
      <c r="F18" s="84">
        <v>114500.0</v>
      </c>
    </row>
    <row r="19">
      <c r="A19" s="85" t="s">
        <v>536</v>
      </c>
      <c r="B19" s="85" t="s">
        <v>504</v>
      </c>
      <c r="C19" s="88" t="s">
        <v>186</v>
      </c>
      <c r="D19" s="88" t="s">
        <v>537</v>
      </c>
      <c r="E19" s="85" t="str">
        <f t="shared" si="1"/>
        <v>Ni</v>
      </c>
      <c r="F19" s="84">
        <v>49000.0</v>
      </c>
    </row>
    <row r="20">
      <c r="A20" s="85" t="s">
        <v>538</v>
      </c>
      <c r="B20" s="85" t="s">
        <v>504</v>
      </c>
      <c r="C20" s="87" t="s">
        <v>186</v>
      </c>
      <c r="D20" s="87" t="s">
        <v>539</v>
      </c>
      <c r="E20" s="85" t="str">
        <f t="shared" si="1"/>
        <v>Ni</v>
      </c>
      <c r="F20" s="84">
        <v>15900.0</v>
      </c>
    </row>
    <row r="21">
      <c r="A21" s="83" t="s">
        <v>540</v>
      </c>
      <c r="B21" s="83" t="s">
        <v>504</v>
      </c>
      <c r="C21" s="83" t="s">
        <v>186</v>
      </c>
      <c r="D21" s="83" t="s">
        <v>541</v>
      </c>
      <c r="E21" s="83" t="str">
        <f t="shared" si="1"/>
        <v>Ni</v>
      </c>
      <c r="F21" s="84">
        <v>12500.0</v>
      </c>
    </row>
    <row r="22">
      <c r="A22" s="85" t="s">
        <v>542</v>
      </c>
      <c r="B22" s="85" t="s">
        <v>504</v>
      </c>
      <c r="C22" s="87" t="s">
        <v>186</v>
      </c>
      <c r="D22" s="87" t="s">
        <v>543</v>
      </c>
      <c r="E22" s="85" t="str">
        <f t="shared" si="1"/>
        <v>Ni</v>
      </c>
      <c r="F22" s="84">
        <v>15900.0</v>
      </c>
    </row>
    <row r="23">
      <c r="A23" s="85" t="s">
        <v>544</v>
      </c>
      <c r="B23" s="85" t="s">
        <v>504</v>
      </c>
      <c r="C23" s="88" t="s">
        <v>186</v>
      </c>
      <c r="D23" s="88" t="s">
        <v>545</v>
      </c>
      <c r="E23" s="85" t="str">
        <f t="shared" si="1"/>
        <v>Ni</v>
      </c>
      <c r="F23" s="84">
        <v>12700.0</v>
      </c>
    </row>
    <row r="24">
      <c r="A24" s="85" t="s">
        <v>546</v>
      </c>
      <c r="B24" s="85" t="s">
        <v>504</v>
      </c>
      <c r="C24" s="87" t="s">
        <v>186</v>
      </c>
      <c r="D24" s="87" t="s">
        <v>547</v>
      </c>
      <c r="E24" s="85" t="str">
        <f t="shared" si="1"/>
        <v>Ni</v>
      </c>
      <c r="F24" s="84">
        <v>12500.0</v>
      </c>
    </row>
    <row r="25">
      <c r="A25" s="85" t="s">
        <v>548</v>
      </c>
      <c r="B25" s="85" t="s">
        <v>504</v>
      </c>
      <c r="C25" s="88" t="s">
        <v>186</v>
      </c>
      <c r="D25" s="88" t="s">
        <v>549</v>
      </c>
      <c r="E25" s="85" t="str">
        <f t="shared" si="1"/>
        <v>Ni</v>
      </c>
      <c r="F25" s="84">
        <v>15900.0</v>
      </c>
    </row>
    <row r="26">
      <c r="A26" s="85" t="s">
        <v>550</v>
      </c>
      <c r="B26" s="85" t="s">
        <v>504</v>
      </c>
      <c r="C26" s="87" t="s">
        <v>186</v>
      </c>
      <c r="D26" s="87" t="s">
        <v>551</v>
      </c>
      <c r="E26" s="85" t="str">
        <f t="shared" si="1"/>
        <v>Ni</v>
      </c>
      <c r="F26" s="84">
        <v>15900.0</v>
      </c>
    </row>
    <row r="27">
      <c r="A27" s="85" t="s">
        <v>552</v>
      </c>
      <c r="B27" s="85" t="s">
        <v>504</v>
      </c>
      <c r="C27" s="88" t="s">
        <v>186</v>
      </c>
      <c r="D27" s="88" t="s">
        <v>553</v>
      </c>
      <c r="E27" s="85" t="str">
        <f t="shared" si="1"/>
        <v>Ni</v>
      </c>
      <c r="F27" s="84">
        <v>12500.0</v>
      </c>
    </row>
    <row r="28">
      <c r="A28" s="85" t="s">
        <v>554</v>
      </c>
      <c r="B28" s="85" t="s">
        <v>504</v>
      </c>
      <c r="C28" s="87" t="s">
        <v>186</v>
      </c>
      <c r="D28" s="87" t="s">
        <v>555</v>
      </c>
      <c r="E28" s="85" t="str">
        <f t="shared" si="1"/>
        <v>Ni</v>
      </c>
      <c r="F28" s="84">
        <v>15900.0</v>
      </c>
    </row>
    <row r="29">
      <c r="A29" s="85" t="s">
        <v>556</v>
      </c>
      <c r="B29" s="85" t="s">
        <v>504</v>
      </c>
      <c r="C29" s="88" t="s">
        <v>186</v>
      </c>
      <c r="D29" s="88" t="s">
        <v>557</v>
      </c>
      <c r="E29" s="85" t="str">
        <f t="shared" si="1"/>
        <v>Ni</v>
      </c>
      <c r="F29" s="84">
        <v>12500.0</v>
      </c>
    </row>
    <row r="30">
      <c r="A30" s="83" t="s">
        <v>558</v>
      </c>
      <c r="B30" s="83" t="s">
        <v>504</v>
      </c>
      <c r="C30" s="83" t="s">
        <v>186</v>
      </c>
      <c r="D30" s="83" t="s">
        <v>559</v>
      </c>
      <c r="E30" s="83" t="str">
        <f t="shared" si="1"/>
        <v>Ni</v>
      </c>
      <c r="F30" s="84">
        <v>12500.0</v>
      </c>
    </row>
    <row r="31">
      <c r="A31" s="85" t="s">
        <v>560</v>
      </c>
      <c r="B31" s="85" t="s">
        <v>504</v>
      </c>
      <c r="C31" s="88" t="s">
        <v>186</v>
      </c>
      <c r="D31" s="88" t="s">
        <v>561</v>
      </c>
      <c r="E31" s="85" t="str">
        <f t="shared" si="1"/>
        <v>Ni</v>
      </c>
      <c r="F31" s="84">
        <v>12500.0</v>
      </c>
    </row>
    <row r="32">
      <c r="A32" s="85" t="s">
        <v>562</v>
      </c>
      <c r="B32" s="85" t="s">
        <v>504</v>
      </c>
      <c r="C32" s="87" t="s">
        <v>186</v>
      </c>
      <c r="D32" s="87" t="s">
        <v>563</v>
      </c>
      <c r="E32" s="85" t="str">
        <f t="shared" si="1"/>
        <v>Ni</v>
      </c>
      <c r="F32" s="84">
        <v>12500.0</v>
      </c>
    </row>
    <row r="33">
      <c r="A33" s="85" t="s">
        <v>564</v>
      </c>
      <c r="B33" s="85" t="s">
        <v>504</v>
      </c>
      <c r="C33" s="88" t="s">
        <v>186</v>
      </c>
      <c r="D33" s="88" t="s">
        <v>565</v>
      </c>
      <c r="E33" s="85" t="str">
        <f t="shared" si="1"/>
        <v>Ni</v>
      </c>
      <c r="F33" s="84">
        <v>12500.0</v>
      </c>
    </row>
    <row r="34">
      <c r="A34" s="85" t="s">
        <v>566</v>
      </c>
      <c r="B34" s="85" t="s">
        <v>504</v>
      </c>
      <c r="C34" s="87" t="s">
        <v>186</v>
      </c>
      <c r="D34" s="87" t="s">
        <v>567</v>
      </c>
      <c r="E34" s="85" t="str">
        <f t="shared" si="1"/>
        <v>Ni</v>
      </c>
      <c r="F34" s="84">
        <v>12500.0</v>
      </c>
    </row>
    <row r="35">
      <c r="A35" s="85" t="s">
        <v>568</v>
      </c>
      <c r="B35" s="85" t="s">
        <v>504</v>
      </c>
      <c r="C35" s="88" t="s">
        <v>186</v>
      </c>
      <c r="D35" s="88" t="s">
        <v>569</v>
      </c>
      <c r="E35" s="85" t="str">
        <f t="shared" si="1"/>
        <v>Ni</v>
      </c>
      <c r="F35" s="84">
        <v>43750.0</v>
      </c>
    </row>
    <row r="36">
      <c r="A36" s="85" t="s">
        <v>570</v>
      </c>
      <c r="B36" s="85" t="s">
        <v>504</v>
      </c>
      <c r="C36" s="87" t="s">
        <v>186</v>
      </c>
      <c r="D36" s="87" t="s">
        <v>571</v>
      </c>
      <c r="E36" s="85" t="str">
        <f t="shared" si="1"/>
        <v>Ni</v>
      </c>
      <c r="F36" s="84">
        <v>15900.0</v>
      </c>
    </row>
    <row r="37">
      <c r="A37" s="85" t="s">
        <v>572</v>
      </c>
      <c r="B37" s="85" t="s">
        <v>504</v>
      </c>
      <c r="C37" s="88" t="s">
        <v>186</v>
      </c>
      <c r="D37" s="88" t="s">
        <v>573</v>
      </c>
      <c r="E37" s="85" t="str">
        <f t="shared" si="1"/>
        <v>Ni</v>
      </c>
      <c r="F37" s="84">
        <v>15900.0</v>
      </c>
    </row>
    <row r="38">
      <c r="A38" s="85" t="s">
        <v>574</v>
      </c>
      <c r="B38" s="85" t="s">
        <v>504</v>
      </c>
      <c r="C38" s="87" t="s">
        <v>186</v>
      </c>
      <c r="D38" s="87" t="s">
        <v>575</v>
      </c>
      <c r="E38" s="85" t="str">
        <f t="shared" si="1"/>
        <v>Ni</v>
      </c>
      <c r="F38" s="84">
        <v>15900.0</v>
      </c>
    </row>
    <row r="39">
      <c r="A39" s="85" t="s">
        <v>576</v>
      </c>
      <c r="B39" s="85" t="s">
        <v>504</v>
      </c>
      <c r="C39" s="88" t="s">
        <v>186</v>
      </c>
      <c r="D39" s="88" t="s">
        <v>577</v>
      </c>
      <c r="E39" s="85" t="str">
        <f t="shared" si="1"/>
        <v>Ni</v>
      </c>
      <c r="F39" s="84">
        <v>57650.0</v>
      </c>
    </row>
    <row r="40">
      <c r="A40" s="85" t="s">
        <v>578</v>
      </c>
      <c r="B40" s="85" t="s">
        <v>504</v>
      </c>
      <c r="C40" s="87" t="s">
        <v>186</v>
      </c>
      <c r="D40" s="87" t="s">
        <v>579</v>
      </c>
      <c r="E40" s="85" t="str">
        <f t="shared" si="1"/>
        <v>Ni</v>
      </c>
      <c r="F40" s="1">
        <v>17900.0</v>
      </c>
    </row>
    <row r="41">
      <c r="A41" s="85" t="s">
        <v>580</v>
      </c>
      <c r="B41" s="85" t="s">
        <v>504</v>
      </c>
      <c r="C41" s="87" t="s">
        <v>186</v>
      </c>
      <c r="D41" s="88" t="s">
        <v>581</v>
      </c>
      <c r="E41" s="85" t="str">
        <f t="shared" si="1"/>
        <v>Ni</v>
      </c>
      <c r="F41" s="1">
        <v>17900.0</v>
      </c>
    </row>
    <row r="42">
      <c r="A42" s="85" t="s">
        <v>582</v>
      </c>
      <c r="B42" s="85" t="s">
        <v>504</v>
      </c>
      <c r="C42" s="88" t="s">
        <v>186</v>
      </c>
      <c r="D42" s="88" t="s">
        <v>583</v>
      </c>
      <c r="E42" s="85" t="str">
        <f t="shared" si="1"/>
        <v>Ni</v>
      </c>
      <c r="F42" s="84">
        <v>57650.0</v>
      </c>
    </row>
    <row r="43">
      <c r="A43" s="85" t="s">
        <v>584</v>
      </c>
      <c r="B43" s="85" t="s">
        <v>504</v>
      </c>
      <c r="C43" s="87" t="s">
        <v>186</v>
      </c>
      <c r="D43" s="87" t="s">
        <v>585</v>
      </c>
      <c r="E43" s="85" t="str">
        <f t="shared" si="1"/>
        <v>Ni</v>
      </c>
      <c r="F43" s="84">
        <v>17600.0</v>
      </c>
    </row>
    <row r="44">
      <c r="A44" s="85" t="s">
        <v>586</v>
      </c>
      <c r="B44" s="85" t="s">
        <v>504</v>
      </c>
      <c r="C44" s="88" t="s">
        <v>186</v>
      </c>
      <c r="D44" s="88" t="s">
        <v>587</v>
      </c>
      <c r="E44" s="85" t="str">
        <f t="shared" si="1"/>
        <v>Ni</v>
      </c>
      <c r="F44" s="84">
        <v>20800.0</v>
      </c>
    </row>
    <row r="45">
      <c r="A45" s="85" t="s">
        <v>588</v>
      </c>
      <c r="B45" s="85" t="s">
        <v>504</v>
      </c>
      <c r="C45" s="87" t="s">
        <v>186</v>
      </c>
      <c r="D45" s="87" t="s">
        <v>589</v>
      </c>
      <c r="E45" s="85" t="str">
        <f t="shared" si="1"/>
        <v>Ni</v>
      </c>
      <c r="F45" s="84">
        <v>17600.0</v>
      </c>
    </row>
    <row r="46">
      <c r="A46" s="85" t="s">
        <v>590</v>
      </c>
      <c r="B46" s="85" t="s">
        <v>504</v>
      </c>
      <c r="C46" s="88" t="s">
        <v>186</v>
      </c>
      <c r="D46" s="88" t="s">
        <v>591</v>
      </c>
      <c r="E46" s="85" t="str">
        <f t="shared" si="1"/>
        <v>Ni</v>
      </c>
      <c r="F46" s="84">
        <v>16000.0</v>
      </c>
    </row>
    <row r="47">
      <c r="A47" s="85" t="s">
        <v>592</v>
      </c>
      <c r="B47" s="85" t="s">
        <v>504</v>
      </c>
      <c r="C47" s="87" t="s">
        <v>186</v>
      </c>
      <c r="D47" s="87" t="s">
        <v>593</v>
      </c>
      <c r="E47" s="85" t="str">
        <f t="shared" si="1"/>
        <v>Ni</v>
      </c>
      <c r="F47" s="84">
        <v>16000.0</v>
      </c>
    </row>
    <row r="48">
      <c r="A48" s="85" t="s">
        <v>594</v>
      </c>
      <c r="B48" s="85" t="s">
        <v>504</v>
      </c>
      <c r="C48" s="88" t="s">
        <v>186</v>
      </c>
      <c r="D48" s="88" t="s">
        <v>595</v>
      </c>
      <c r="E48" s="85" t="str">
        <f t="shared" si="1"/>
        <v>Ni</v>
      </c>
      <c r="F48" s="84">
        <v>18900.0</v>
      </c>
    </row>
    <row r="49">
      <c r="A49" s="85" t="s">
        <v>596</v>
      </c>
      <c r="B49" s="85" t="s">
        <v>504</v>
      </c>
      <c r="C49" s="87" t="s">
        <v>186</v>
      </c>
      <c r="D49" s="87" t="s">
        <v>597</v>
      </c>
      <c r="E49" s="85" t="str">
        <f t="shared" si="1"/>
        <v>Ni</v>
      </c>
      <c r="F49" s="84">
        <v>35600.0</v>
      </c>
    </row>
    <row r="50">
      <c r="A50" s="85" t="s">
        <v>598</v>
      </c>
      <c r="B50" s="85" t="s">
        <v>504</v>
      </c>
      <c r="C50" s="88" t="s">
        <v>186</v>
      </c>
      <c r="D50" s="88" t="s">
        <v>599</v>
      </c>
      <c r="E50" s="85" t="str">
        <f t="shared" si="1"/>
        <v>Ni</v>
      </c>
      <c r="F50" s="84">
        <v>22800.0</v>
      </c>
    </row>
    <row r="51">
      <c r="A51" s="85" t="s">
        <v>600</v>
      </c>
      <c r="B51" s="85" t="s">
        <v>504</v>
      </c>
      <c r="C51" s="87" t="s">
        <v>186</v>
      </c>
      <c r="D51" s="87" t="s">
        <v>601</v>
      </c>
      <c r="E51" s="85" t="str">
        <f t="shared" si="1"/>
        <v>Ni</v>
      </c>
      <c r="F51" s="84">
        <v>27000.0</v>
      </c>
    </row>
    <row r="52">
      <c r="A52" s="85" t="s">
        <v>602</v>
      </c>
      <c r="B52" s="85" t="s">
        <v>504</v>
      </c>
      <c r="C52" s="88" t="s">
        <v>186</v>
      </c>
      <c r="D52" s="88" t="s">
        <v>603</v>
      </c>
      <c r="E52" s="85" t="str">
        <f t="shared" si="1"/>
        <v>Ni</v>
      </c>
      <c r="F52" s="84">
        <v>27000.0</v>
      </c>
    </row>
    <row r="53">
      <c r="A53" s="85" t="s">
        <v>604</v>
      </c>
      <c r="B53" s="85" t="s">
        <v>504</v>
      </c>
      <c r="C53" s="87" t="s">
        <v>186</v>
      </c>
      <c r="D53" s="87" t="s">
        <v>605</v>
      </c>
      <c r="E53" s="85" t="str">
        <f t="shared" si="1"/>
        <v>Ni</v>
      </c>
      <c r="F53" s="84">
        <v>35600.0</v>
      </c>
    </row>
    <row r="54">
      <c r="A54" s="85" t="s">
        <v>606</v>
      </c>
      <c r="B54" s="85" t="s">
        <v>504</v>
      </c>
      <c r="C54" s="88" t="s">
        <v>186</v>
      </c>
      <c r="D54" s="88" t="s">
        <v>607</v>
      </c>
      <c r="E54" s="85" t="str">
        <f t="shared" si="1"/>
        <v>Ni</v>
      </c>
      <c r="F54" s="84">
        <v>55380.0</v>
      </c>
    </row>
    <row r="55">
      <c r="A55" s="85" t="s">
        <v>608</v>
      </c>
      <c r="B55" s="85" t="s">
        <v>504</v>
      </c>
      <c r="C55" s="87" t="s">
        <v>186</v>
      </c>
      <c r="D55" s="87" t="s">
        <v>609</v>
      </c>
      <c r="E55" s="85" t="str">
        <f t="shared" si="1"/>
        <v>Ni</v>
      </c>
      <c r="F55" s="84">
        <v>17600.0</v>
      </c>
    </row>
    <row r="56">
      <c r="A56" s="85" t="s">
        <v>610</v>
      </c>
      <c r="B56" s="85" t="s">
        <v>504</v>
      </c>
      <c r="C56" s="88" t="s">
        <v>186</v>
      </c>
      <c r="D56" s="88" t="s">
        <v>611</v>
      </c>
      <c r="E56" s="85" t="str">
        <f t="shared" si="1"/>
        <v>Ni</v>
      </c>
      <c r="F56" s="84">
        <v>69100.0</v>
      </c>
    </row>
    <row r="57">
      <c r="A57" s="85" t="s">
        <v>612</v>
      </c>
      <c r="B57" s="85" t="s">
        <v>504</v>
      </c>
      <c r="C57" s="87" t="s">
        <v>186</v>
      </c>
      <c r="D57" s="87" t="s">
        <v>613</v>
      </c>
      <c r="E57" s="85" t="str">
        <f t="shared" si="1"/>
        <v>Ni</v>
      </c>
      <c r="F57" s="84">
        <v>17600.0</v>
      </c>
    </row>
    <row r="58">
      <c r="A58" s="83" t="s">
        <v>614</v>
      </c>
      <c r="B58" s="85" t="s">
        <v>74</v>
      </c>
      <c r="C58" s="88" t="s">
        <v>334</v>
      </c>
      <c r="D58" s="88" t="s">
        <v>615</v>
      </c>
      <c r="E58" s="85" t="str">
        <f t="shared" si="1"/>
        <v>IX</v>
      </c>
      <c r="F58" s="84">
        <v>71700.0</v>
      </c>
    </row>
    <row r="59">
      <c r="A59" s="85" t="s">
        <v>616</v>
      </c>
      <c r="B59" s="85" t="s">
        <v>74</v>
      </c>
      <c r="C59" s="87" t="s">
        <v>337</v>
      </c>
      <c r="D59" s="87" t="s">
        <v>617</v>
      </c>
      <c r="E59" s="85" t="str">
        <f t="shared" si="1"/>
        <v>GP</v>
      </c>
      <c r="F59" s="84">
        <v>26800.0</v>
      </c>
    </row>
    <row r="60">
      <c r="A60" s="85" t="s">
        <v>618</v>
      </c>
      <c r="B60" s="85" t="s">
        <v>74</v>
      </c>
      <c r="C60" s="88" t="s">
        <v>337</v>
      </c>
      <c r="D60" s="88" t="s">
        <v>619</v>
      </c>
      <c r="E60" s="85" t="str">
        <f t="shared" si="1"/>
        <v>GP</v>
      </c>
      <c r="F60" s="84">
        <v>26800.0</v>
      </c>
    </row>
    <row r="61">
      <c r="A61" s="82" t="s">
        <v>620</v>
      </c>
      <c r="B61" s="85" t="s">
        <v>74</v>
      </c>
      <c r="C61" s="87" t="s">
        <v>337</v>
      </c>
      <c r="D61" s="87" t="s">
        <v>34</v>
      </c>
      <c r="E61" s="85" t="str">
        <f t="shared" si="1"/>
        <v>GP</v>
      </c>
      <c r="F61" s="1">
        <v>26800.0</v>
      </c>
    </row>
    <row r="62">
      <c r="A62" s="85" t="s">
        <v>621</v>
      </c>
      <c r="B62" s="85" t="s">
        <v>74</v>
      </c>
      <c r="C62" s="88" t="s">
        <v>334</v>
      </c>
      <c r="D62" s="88" t="s">
        <v>622</v>
      </c>
      <c r="E62" s="85" t="str">
        <f t="shared" si="1"/>
        <v>IX</v>
      </c>
      <c r="F62" s="84">
        <v>71700.0</v>
      </c>
    </row>
    <row r="63">
      <c r="A63" s="85" t="s">
        <v>623</v>
      </c>
      <c r="B63" s="85" t="s">
        <v>74</v>
      </c>
      <c r="C63" s="87" t="s">
        <v>334</v>
      </c>
      <c r="D63" s="87" t="s">
        <v>624</v>
      </c>
      <c r="E63" s="85" t="str">
        <f t="shared" si="1"/>
        <v>IX</v>
      </c>
      <c r="F63" s="84">
        <v>71700.0</v>
      </c>
    </row>
    <row r="64">
      <c r="A64" s="82" t="s">
        <v>625</v>
      </c>
      <c r="B64" s="85" t="s">
        <v>74</v>
      </c>
      <c r="C64" s="88" t="s">
        <v>337</v>
      </c>
      <c r="D64" s="88" t="s">
        <v>626</v>
      </c>
      <c r="E64" s="85" t="str">
        <f t="shared" si="1"/>
        <v>GP</v>
      </c>
      <c r="F64" s="1">
        <v>26800.0</v>
      </c>
    </row>
    <row r="65">
      <c r="A65" s="85" t="s">
        <v>627</v>
      </c>
      <c r="B65" s="85" t="s">
        <v>74</v>
      </c>
      <c r="C65" s="87" t="s">
        <v>334</v>
      </c>
      <c r="D65" s="87" t="s">
        <v>628</v>
      </c>
      <c r="E65" s="85" t="str">
        <f t="shared" si="1"/>
        <v>IX</v>
      </c>
      <c r="F65" s="84">
        <v>71700.0</v>
      </c>
    </row>
    <row r="66">
      <c r="A66" s="85" t="s">
        <v>629</v>
      </c>
      <c r="B66" s="85" t="s">
        <v>74</v>
      </c>
      <c r="C66" s="88" t="s">
        <v>334</v>
      </c>
      <c r="D66" s="88" t="s">
        <v>630</v>
      </c>
      <c r="E66" s="85" t="str">
        <f t="shared" si="1"/>
        <v>IX</v>
      </c>
      <c r="F66" s="84">
        <v>71700.0</v>
      </c>
    </row>
    <row r="67">
      <c r="A67" s="85" t="s">
        <v>632</v>
      </c>
      <c r="B67" s="85" t="s">
        <v>74</v>
      </c>
      <c r="C67" s="87" t="s">
        <v>334</v>
      </c>
      <c r="D67" s="91" t="s">
        <v>32</v>
      </c>
      <c r="E67" s="85" t="str">
        <f t="shared" si="1"/>
        <v>IX</v>
      </c>
      <c r="F67" s="84">
        <v>71700.0</v>
      </c>
    </row>
    <row r="68">
      <c r="A68" s="89" t="s">
        <v>631</v>
      </c>
      <c r="B68" s="85" t="s">
        <v>74</v>
      </c>
      <c r="C68" s="88" t="s">
        <v>334</v>
      </c>
      <c r="D68" s="91" t="s">
        <v>79</v>
      </c>
      <c r="E68" s="89" t="s">
        <v>334</v>
      </c>
      <c r="F68" s="6">
        <v>71700.0</v>
      </c>
    </row>
    <row r="69">
      <c r="A69" s="85" t="s">
        <v>614</v>
      </c>
      <c r="B69" s="85" t="s">
        <v>74</v>
      </c>
      <c r="C69" s="88" t="s">
        <v>334</v>
      </c>
      <c r="D69" s="88" t="s">
        <v>633</v>
      </c>
      <c r="E69" s="85" t="str">
        <f t="shared" ref="E69:E195" si="2">if(C69="YL","Ni",if(C69="GP","GP",if(C69="RACING","IX",if(C69="IL","IX",if(C69="IX","IX",if(C69="PL","IX","NONE"))))))</f>
        <v>IX</v>
      </c>
      <c r="F69" s="84">
        <v>71700.0</v>
      </c>
    </row>
    <row r="70">
      <c r="A70" s="85" t="s">
        <v>634</v>
      </c>
      <c r="B70" s="85" t="s">
        <v>74</v>
      </c>
      <c r="C70" s="87" t="s">
        <v>334</v>
      </c>
      <c r="D70" s="87" t="s">
        <v>635</v>
      </c>
      <c r="E70" s="85" t="str">
        <f t="shared" si="2"/>
        <v>IX</v>
      </c>
      <c r="F70" s="84">
        <v>71700.0</v>
      </c>
    </row>
    <row r="71">
      <c r="A71" s="85" t="s">
        <v>636</v>
      </c>
      <c r="B71" s="85" t="s">
        <v>74</v>
      </c>
      <c r="C71" s="88" t="s">
        <v>337</v>
      </c>
      <c r="D71" s="90" t="s">
        <v>36</v>
      </c>
      <c r="E71" s="85" t="str">
        <f t="shared" si="2"/>
        <v>GP</v>
      </c>
      <c r="F71" s="84">
        <v>26800.0</v>
      </c>
    </row>
    <row r="72">
      <c r="A72" s="82" t="s">
        <v>637</v>
      </c>
      <c r="B72" s="85" t="s">
        <v>74</v>
      </c>
      <c r="C72" s="88" t="s">
        <v>337</v>
      </c>
      <c r="D72" s="90" t="s">
        <v>638</v>
      </c>
      <c r="E72" s="85" t="str">
        <f t="shared" si="2"/>
        <v>GP</v>
      </c>
      <c r="F72" s="84">
        <v>26800.0</v>
      </c>
    </row>
    <row r="73">
      <c r="A73" s="85" t="s">
        <v>639</v>
      </c>
      <c r="B73" s="85" t="s">
        <v>74</v>
      </c>
      <c r="C73" s="87" t="s">
        <v>334</v>
      </c>
      <c r="D73" s="87" t="s">
        <v>640</v>
      </c>
      <c r="E73" s="85" t="str">
        <f t="shared" si="2"/>
        <v>IX</v>
      </c>
      <c r="F73" s="84">
        <v>71700.0</v>
      </c>
    </row>
    <row r="74">
      <c r="A74" s="85" t="s">
        <v>641</v>
      </c>
      <c r="B74" s="85" t="s">
        <v>74</v>
      </c>
      <c r="C74" s="88" t="s">
        <v>334</v>
      </c>
      <c r="D74" s="88" t="s">
        <v>642</v>
      </c>
      <c r="E74" s="85" t="str">
        <f t="shared" si="2"/>
        <v>IX</v>
      </c>
      <c r="F74" s="84">
        <v>71700.0</v>
      </c>
    </row>
    <row r="75">
      <c r="A75" s="82" t="s">
        <v>643</v>
      </c>
      <c r="B75" s="85" t="s">
        <v>74</v>
      </c>
      <c r="C75" s="88" t="s">
        <v>334</v>
      </c>
      <c r="D75" s="90" t="s">
        <v>644</v>
      </c>
      <c r="E75" s="85" t="str">
        <f t="shared" si="2"/>
        <v>IX</v>
      </c>
      <c r="F75" s="84">
        <v>71700.0</v>
      </c>
    </row>
    <row r="76">
      <c r="A76" s="85" t="s">
        <v>645</v>
      </c>
      <c r="B76" s="85" t="s">
        <v>74</v>
      </c>
      <c r="C76" s="87" t="s">
        <v>337</v>
      </c>
      <c r="D76" s="87" t="s">
        <v>646</v>
      </c>
      <c r="E76" s="85" t="str">
        <f t="shared" si="2"/>
        <v>GP</v>
      </c>
      <c r="F76" s="84">
        <v>26800.0</v>
      </c>
    </row>
    <row r="77">
      <c r="A77" s="85" t="s">
        <v>647</v>
      </c>
      <c r="B77" s="85" t="s">
        <v>74</v>
      </c>
      <c r="C77" s="88" t="s">
        <v>334</v>
      </c>
      <c r="D77" s="88" t="s">
        <v>648</v>
      </c>
      <c r="E77" s="85" t="str">
        <f t="shared" si="2"/>
        <v>IX</v>
      </c>
      <c r="F77" s="84">
        <v>71700.0</v>
      </c>
    </row>
    <row r="78">
      <c r="A78" s="85" t="s">
        <v>649</v>
      </c>
      <c r="B78" s="85" t="s">
        <v>74</v>
      </c>
      <c r="C78" s="87" t="s">
        <v>334</v>
      </c>
      <c r="D78" s="87" t="s">
        <v>650</v>
      </c>
      <c r="E78" s="85" t="str">
        <f t="shared" si="2"/>
        <v>IX</v>
      </c>
      <c r="F78" s="84">
        <v>71700.0</v>
      </c>
    </row>
    <row r="79">
      <c r="A79" s="89" t="s">
        <v>651</v>
      </c>
      <c r="B79" s="85" t="s">
        <v>74</v>
      </c>
      <c r="C79" s="87" t="s">
        <v>334</v>
      </c>
      <c r="D79" s="91" t="s">
        <v>652</v>
      </c>
      <c r="E79" s="85" t="str">
        <f t="shared" si="2"/>
        <v>IX</v>
      </c>
      <c r="F79" s="84">
        <v>71700.0</v>
      </c>
    </row>
    <row r="80">
      <c r="A80" s="85" t="s">
        <v>653</v>
      </c>
      <c r="B80" s="85" t="s">
        <v>74</v>
      </c>
      <c r="C80" s="88" t="s">
        <v>334</v>
      </c>
      <c r="D80" s="88" t="s">
        <v>654</v>
      </c>
      <c r="E80" s="85" t="str">
        <f t="shared" si="2"/>
        <v>IX</v>
      </c>
      <c r="F80" s="84">
        <v>71700.0</v>
      </c>
    </row>
    <row r="81">
      <c r="A81" s="89" t="s">
        <v>655</v>
      </c>
      <c r="B81" s="85" t="s">
        <v>74</v>
      </c>
      <c r="C81" s="87" t="s">
        <v>337</v>
      </c>
      <c r="D81" s="87" t="s">
        <v>35</v>
      </c>
      <c r="E81" s="85" t="str">
        <f t="shared" si="2"/>
        <v>GP</v>
      </c>
      <c r="F81" s="1">
        <v>26800.0</v>
      </c>
    </row>
    <row r="82">
      <c r="A82" s="89" t="s">
        <v>656</v>
      </c>
      <c r="B82" s="85" t="s">
        <v>74</v>
      </c>
      <c r="C82" s="87" t="s">
        <v>337</v>
      </c>
      <c r="D82" s="91" t="s">
        <v>657</v>
      </c>
      <c r="E82" s="85" t="str">
        <f t="shared" si="2"/>
        <v>GP</v>
      </c>
      <c r="F82" s="1">
        <v>26800.0</v>
      </c>
    </row>
    <row r="83">
      <c r="A83" s="85" t="s">
        <v>658</v>
      </c>
      <c r="B83" s="85" t="s">
        <v>74</v>
      </c>
      <c r="C83" s="88" t="s">
        <v>334</v>
      </c>
      <c r="D83" s="88" t="s">
        <v>659</v>
      </c>
      <c r="E83" s="85" t="str">
        <f t="shared" si="2"/>
        <v>IX</v>
      </c>
      <c r="F83" s="84">
        <v>71700.0</v>
      </c>
    </row>
    <row r="84">
      <c r="A84" s="82" t="s">
        <v>660</v>
      </c>
      <c r="B84" s="85" t="s">
        <v>74</v>
      </c>
      <c r="C84" s="88" t="s">
        <v>334</v>
      </c>
      <c r="D84" s="90" t="s">
        <v>661</v>
      </c>
      <c r="E84" s="85" t="str">
        <f t="shared" si="2"/>
        <v>IX</v>
      </c>
      <c r="F84" s="84">
        <v>71700.0</v>
      </c>
    </row>
    <row r="85">
      <c r="A85" s="85" t="s">
        <v>662</v>
      </c>
      <c r="B85" s="85" t="s">
        <v>74</v>
      </c>
      <c r="C85" s="87" t="s">
        <v>334</v>
      </c>
      <c r="D85" s="87" t="s">
        <v>663</v>
      </c>
      <c r="E85" s="85" t="str">
        <f t="shared" si="2"/>
        <v>IX</v>
      </c>
      <c r="F85" s="84">
        <v>71700.0</v>
      </c>
    </row>
    <row r="86">
      <c r="A86" s="85" t="s">
        <v>664</v>
      </c>
      <c r="B86" s="85" t="s">
        <v>74</v>
      </c>
      <c r="C86" s="88" t="s">
        <v>181</v>
      </c>
      <c r="D86" s="88" t="s">
        <v>665</v>
      </c>
      <c r="E86" s="85" t="str">
        <f t="shared" si="2"/>
        <v>IX</v>
      </c>
      <c r="F86" s="1">
        <v>150700.0</v>
      </c>
    </row>
    <row r="87">
      <c r="A87" s="85" t="s">
        <v>666</v>
      </c>
      <c r="B87" s="85" t="s">
        <v>74</v>
      </c>
      <c r="C87" s="87" t="s">
        <v>181</v>
      </c>
      <c r="D87" s="87" t="s">
        <v>667</v>
      </c>
      <c r="E87" s="85" t="str">
        <f t="shared" si="2"/>
        <v>IX</v>
      </c>
      <c r="F87" s="1">
        <v>150700.0</v>
      </c>
    </row>
    <row r="88">
      <c r="A88" s="85" t="s">
        <v>668</v>
      </c>
      <c r="B88" s="85" t="s">
        <v>74</v>
      </c>
      <c r="C88" s="88" t="s">
        <v>181</v>
      </c>
      <c r="D88" s="88" t="s">
        <v>669</v>
      </c>
      <c r="E88" s="85" t="str">
        <f t="shared" si="2"/>
        <v>IX</v>
      </c>
      <c r="F88" s="84">
        <v>150700.0</v>
      </c>
    </row>
    <row r="89">
      <c r="A89" s="85" t="s">
        <v>670</v>
      </c>
      <c r="B89" s="85" t="s">
        <v>74</v>
      </c>
      <c r="C89" s="87" t="s">
        <v>181</v>
      </c>
      <c r="D89" s="87" t="s">
        <v>671</v>
      </c>
      <c r="E89" s="85" t="str">
        <f t="shared" si="2"/>
        <v>IX</v>
      </c>
      <c r="F89" s="84">
        <v>150700.0</v>
      </c>
    </row>
    <row r="90">
      <c r="A90" s="85" t="s">
        <v>672</v>
      </c>
      <c r="B90" s="85" t="s">
        <v>74</v>
      </c>
      <c r="C90" s="88" t="s">
        <v>181</v>
      </c>
      <c r="D90" s="88" t="s">
        <v>673</v>
      </c>
      <c r="E90" s="85" t="str">
        <f t="shared" si="2"/>
        <v>IX</v>
      </c>
      <c r="F90" s="84">
        <v>112500.0</v>
      </c>
    </row>
    <row r="91">
      <c r="A91" s="85" t="s">
        <v>674</v>
      </c>
      <c r="B91" s="85" t="s">
        <v>74</v>
      </c>
      <c r="C91" s="87" t="s">
        <v>181</v>
      </c>
      <c r="D91" s="87" t="s">
        <v>675</v>
      </c>
      <c r="E91" s="85" t="str">
        <f t="shared" si="2"/>
        <v>IX</v>
      </c>
      <c r="F91" s="84">
        <v>150700.0</v>
      </c>
    </row>
    <row r="92">
      <c r="A92" s="82" t="s">
        <v>676</v>
      </c>
      <c r="B92" s="85" t="s">
        <v>74</v>
      </c>
      <c r="C92" s="87" t="s">
        <v>181</v>
      </c>
      <c r="D92" s="90" t="s">
        <v>677</v>
      </c>
      <c r="E92" s="85" t="str">
        <f t="shared" si="2"/>
        <v>IX</v>
      </c>
      <c r="F92" s="84">
        <v>150700.0</v>
      </c>
    </row>
    <row r="93">
      <c r="A93" s="82" t="s">
        <v>678</v>
      </c>
      <c r="B93" s="85" t="s">
        <v>74</v>
      </c>
      <c r="C93" s="90" t="s">
        <v>181</v>
      </c>
      <c r="D93" s="90" t="s">
        <v>679</v>
      </c>
      <c r="E93" s="85" t="str">
        <f t="shared" si="2"/>
        <v>IX</v>
      </c>
      <c r="F93" s="84">
        <v>150700.0</v>
      </c>
    </row>
    <row r="94">
      <c r="A94" s="85" t="s">
        <v>680</v>
      </c>
      <c r="B94" s="85" t="s">
        <v>74</v>
      </c>
      <c r="C94" s="88" t="s">
        <v>181</v>
      </c>
      <c r="D94" s="88" t="s">
        <v>681</v>
      </c>
      <c r="E94" s="85" t="str">
        <f t="shared" si="2"/>
        <v>IX</v>
      </c>
      <c r="F94" s="84">
        <v>150700.0</v>
      </c>
    </row>
    <row r="95">
      <c r="A95" s="85" t="s">
        <v>682</v>
      </c>
      <c r="B95" s="85" t="s">
        <v>74</v>
      </c>
      <c r="C95" s="87" t="s">
        <v>181</v>
      </c>
      <c r="D95" s="87" t="s">
        <v>683</v>
      </c>
      <c r="E95" s="85" t="str">
        <f t="shared" si="2"/>
        <v>IX</v>
      </c>
      <c r="F95" s="84">
        <v>150700.0</v>
      </c>
    </row>
    <row r="96">
      <c r="A96" s="85" t="s">
        <v>684</v>
      </c>
      <c r="B96" s="85" t="s">
        <v>74</v>
      </c>
      <c r="C96" s="88" t="s">
        <v>181</v>
      </c>
      <c r="D96" s="88" t="s">
        <v>685</v>
      </c>
      <c r="E96" s="85" t="str">
        <f t="shared" si="2"/>
        <v>IX</v>
      </c>
      <c r="F96" s="84">
        <v>150700.0</v>
      </c>
    </row>
    <row r="97">
      <c r="A97" s="85" t="s">
        <v>686</v>
      </c>
      <c r="B97" s="85" t="s">
        <v>74</v>
      </c>
      <c r="C97" s="87" t="s">
        <v>181</v>
      </c>
      <c r="D97" s="87" t="s">
        <v>687</v>
      </c>
      <c r="E97" s="85" t="str">
        <f t="shared" si="2"/>
        <v>IX</v>
      </c>
      <c r="F97" s="84">
        <v>150700.0</v>
      </c>
    </row>
    <row r="98">
      <c r="A98" s="85" t="s">
        <v>688</v>
      </c>
      <c r="B98" s="85" t="s">
        <v>74</v>
      </c>
      <c r="C98" s="88" t="s">
        <v>181</v>
      </c>
      <c r="D98" s="88" t="s">
        <v>689</v>
      </c>
      <c r="E98" s="85" t="str">
        <f t="shared" si="2"/>
        <v>IX</v>
      </c>
      <c r="F98" s="84">
        <v>150700.0</v>
      </c>
    </row>
    <row r="99">
      <c r="A99" s="89" t="s">
        <v>690</v>
      </c>
      <c r="B99" s="85" t="s">
        <v>74</v>
      </c>
      <c r="C99" s="88" t="s">
        <v>181</v>
      </c>
      <c r="D99" s="90" t="s">
        <v>691</v>
      </c>
      <c r="E99" s="85" t="str">
        <f t="shared" si="2"/>
        <v>IX</v>
      </c>
      <c r="F99" s="84">
        <v>150700.0</v>
      </c>
    </row>
    <row r="100">
      <c r="A100" s="83" t="s">
        <v>692</v>
      </c>
      <c r="B100" s="85" t="s">
        <v>74</v>
      </c>
      <c r="C100" s="87" t="s">
        <v>181</v>
      </c>
      <c r="D100" s="87" t="s">
        <v>693</v>
      </c>
      <c r="E100" s="85" t="str">
        <f t="shared" si="2"/>
        <v>IX</v>
      </c>
      <c r="F100" s="84">
        <v>150700.0</v>
      </c>
    </row>
    <row r="101">
      <c r="A101" s="82" t="s">
        <v>694</v>
      </c>
      <c r="B101" s="83" t="s">
        <v>74</v>
      </c>
      <c r="C101" s="83" t="s">
        <v>181</v>
      </c>
      <c r="D101" s="82" t="s">
        <v>76</v>
      </c>
      <c r="E101" s="83" t="str">
        <f t="shared" si="2"/>
        <v>IX</v>
      </c>
      <c r="F101" s="92">
        <v>181300.0</v>
      </c>
    </row>
    <row r="102">
      <c r="A102" s="85" t="s">
        <v>695</v>
      </c>
      <c r="B102" s="85" t="s">
        <v>74</v>
      </c>
      <c r="C102" s="88" t="s">
        <v>181</v>
      </c>
      <c r="D102" s="82" t="s">
        <v>30</v>
      </c>
      <c r="E102" s="85" t="str">
        <f t="shared" si="2"/>
        <v>IX</v>
      </c>
      <c r="F102" s="84">
        <v>150700.0</v>
      </c>
    </row>
    <row r="103">
      <c r="A103" s="85" t="s">
        <v>696</v>
      </c>
      <c r="B103" s="85" t="s">
        <v>74</v>
      </c>
      <c r="C103" s="87" t="s">
        <v>181</v>
      </c>
      <c r="D103" s="87" t="s">
        <v>697</v>
      </c>
      <c r="E103" s="85" t="str">
        <f t="shared" si="2"/>
        <v>IX</v>
      </c>
      <c r="F103" s="84">
        <v>150700.0</v>
      </c>
    </row>
    <row r="104">
      <c r="A104" s="85" t="s">
        <v>698</v>
      </c>
      <c r="B104" s="85" t="s">
        <v>74</v>
      </c>
      <c r="C104" s="88" t="s">
        <v>181</v>
      </c>
      <c r="D104" s="88" t="s">
        <v>699</v>
      </c>
      <c r="E104" s="85" t="str">
        <f t="shared" si="2"/>
        <v>IX</v>
      </c>
      <c r="F104" s="84">
        <v>150700.0</v>
      </c>
    </row>
    <row r="105">
      <c r="A105" s="85" t="s">
        <v>700</v>
      </c>
      <c r="B105" s="85" t="s">
        <v>74</v>
      </c>
      <c r="C105" s="87" t="s">
        <v>181</v>
      </c>
      <c r="D105" s="87" t="s">
        <v>701</v>
      </c>
      <c r="E105" s="85" t="str">
        <f t="shared" si="2"/>
        <v>IX</v>
      </c>
      <c r="F105" s="84">
        <v>112500.0</v>
      </c>
    </row>
    <row r="106">
      <c r="A106" s="89" t="s">
        <v>702</v>
      </c>
      <c r="B106" s="85" t="s">
        <v>74</v>
      </c>
      <c r="C106" s="87" t="s">
        <v>181</v>
      </c>
      <c r="D106" s="91" t="s">
        <v>703</v>
      </c>
      <c r="E106" s="85" t="str">
        <f t="shared" si="2"/>
        <v>IX</v>
      </c>
      <c r="F106" s="84">
        <v>112500.0</v>
      </c>
    </row>
    <row r="107">
      <c r="A107" s="85" t="s">
        <v>704</v>
      </c>
      <c r="B107" s="85" t="s">
        <v>74</v>
      </c>
      <c r="C107" s="88" t="s">
        <v>181</v>
      </c>
      <c r="D107" s="88" t="s">
        <v>705</v>
      </c>
      <c r="E107" s="85" t="str">
        <f t="shared" si="2"/>
        <v>IX</v>
      </c>
      <c r="F107" s="84">
        <v>150700.0</v>
      </c>
    </row>
    <row r="108">
      <c r="A108" s="85" t="s">
        <v>706</v>
      </c>
      <c r="B108" s="85" t="s">
        <v>74</v>
      </c>
      <c r="C108" s="87" t="s">
        <v>181</v>
      </c>
      <c r="D108" s="87" t="s">
        <v>707</v>
      </c>
      <c r="E108" s="85" t="str">
        <f t="shared" si="2"/>
        <v>IX</v>
      </c>
      <c r="F108" s="84">
        <v>150700.0</v>
      </c>
    </row>
    <row r="109">
      <c r="A109" s="85" t="s">
        <v>708</v>
      </c>
      <c r="B109" s="85" t="s">
        <v>74</v>
      </c>
      <c r="C109" s="88" t="s">
        <v>181</v>
      </c>
      <c r="D109" s="82" t="s">
        <v>29</v>
      </c>
      <c r="E109" s="85" t="str">
        <f t="shared" si="2"/>
        <v>IX</v>
      </c>
      <c r="F109" s="84">
        <v>150700.0</v>
      </c>
    </row>
    <row r="110">
      <c r="A110" s="85" t="s">
        <v>709</v>
      </c>
      <c r="B110" s="85" t="s">
        <v>74</v>
      </c>
      <c r="C110" s="87" t="s">
        <v>181</v>
      </c>
      <c r="D110" s="87" t="s">
        <v>710</v>
      </c>
      <c r="E110" s="85" t="str">
        <f t="shared" si="2"/>
        <v>IX</v>
      </c>
      <c r="F110" s="84">
        <v>150700.0</v>
      </c>
    </row>
    <row r="111">
      <c r="A111" s="85" t="s">
        <v>711</v>
      </c>
      <c r="B111" s="85" t="s">
        <v>74</v>
      </c>
      <c r="C111" s="88" t="s">
        <v>181</v>
      </c>
      <c r="D111" s="88" t="s">
        <v>712</v>
      </c>
      <c r="E111" s="85" t="str">
        <f t="shared" si="2"/>
        <v>IX</v>
      </c>
      <c r="F111" s="84">
        <v>150700.0</v>
      </c>
    </row>
    <row r="112">
      <c r="A112" s="85" t="s">
        <v>713</v>
      </c>
      <c r="B112" s="85" t="s">
        <v>74</v>
      </c>
      <c r="C112" s="87" t="s">
        <v>181</v>
      </c>
      <c r="D112" s="87" t="s">
        <v>714</v>
      </c>
      <c r="E112" s="85" t="str">
        <f t="shared" si="2"/>
        <v>IX</v>
      </c>
      <c r="F112" s="84">
        <v>150700.0</v>
      </c>
    </row>
    <row r="113">
      <c r="A113" s="85" t="s">
        <v>715</v>
      </c>
      <c r="B113" s="85" t="s">
        <v>74</v>
      </c>
      <c r="C113" s="88" t="s">
        <v>181</v>
      </c>
      <c r="D113" s="88" t="s">
        <v>716</v>
      </c>
      <c r="E113" s="85" t="str">
        <f t="shared" si="2"/>
        <v>IX</v>
      </c>
      <c r="F113" s="84">
        <v>150700.0</v>
      </c>
    </row>
    <row r="114">
      <c r="A114" s="85" t="s">
        <v>717</v>
      </c>
      <c r="B114" s="85" t="s">
        <v>74</v>
      </c>
      <c r="C114" s="87" t="s">
        <v>181</v>
      </c>
      <c r="D114" s="87" t="s">
        <v>718</v>
      </c>
      <c r="E114" s="85" t="str">
        <f t="shared" si="2"/>
        <v>IX</v>
      </c>
      <c r="F114" s="84">
        <v>150700.0</v>
      </c>
    </row>
    <row r="115">
      <c r="A115" s="89" t="s">
        <v>719</v>
      </c>
      <c r="B115" s="85" t="s">
        <v>74</v>
      </c>
      <c r="C115" s="87" t="s">
        <v>181</v>
      </c>
      <c r="D115" s="91" t="s">
        <v>720</v>
      </c>
      <c r="E115" s="85" t="str">
        <f t="shared" si="2"/>
        <v>IX</v>
      </c>
      <c r="F115" s="84">
        <v>150700.0</v>
      </c>
    </row>
    <row r="116">
      <c r="A116" s="85" t="s">
        <v>721</v>
      </c>
      <c r="B116" s="85" t="s">
        <v>74</v>
      </c>
      <c r="C116" s="88" t="s">
        <v>181</v>
      </c>
      <c r="D116" s="88" t="s">
        <v>722</v>
      </c>
      <c r="E116" s="85" t="str">
        <f t="shared" si="2"/>
        <v>IX</v>
      </c>
      <c r="F116" s="84">
        <v>150700.0</v>
      </c>
    </row>
    <row r="117">
      <c r="A117" s="82" t="s">
        <v>723</v>
      </c>
      <c r="B117" s="85" t="s">
        <v>74</v>
      </c>
      <c r="C117" s="88" t="s">
        <v>181</v>
      </c>
      <c r="D117" s="91" t="s">
        <v>64</v>
      </c>
      <c r="E117" s="85" t="str">
        <f t="shared" si="2"/>
        <v>IX</v>
      </c>
      <c r="F117" s="6">
        <v>105700.0</v>
      </c>
    </row>
    <row r="118">
      <c r="A118" s="83" t="s">
        <v>724</v>
      </c>
      <c r="B118" s="85" t="s">
        <v>74</v>
      </c>
      <c r="C118" s="87" t="s">
        <v>181</v>
      </c>
      <c r="D118" s="87" t="s">
        <v>725</v>
      </c>
      <c r="E118" s="85" t="str">
        <f t="shared" si="2"/>
        <v>IX</v>
      </c>
      <c r="F118" s="84">
        <v>150700.0</v>
      </c>
    </row>
    <row r="119">
      <c r="A119" s="85" t="s">
        <v>726</v>
      </c>
      <c r="B119" s="85" t="s">
        <v>74</v>
      </c>
      <c r="C119" s="88" t="s">
        <v>181</v>
      </c>
      <c r="D119" s="90" t="s">
        <v>47</v>
      </c>
      <c r="E119" s="85" t="str">
        <f t="shared" si="2"/>
        <v>IX</v>
      </c>
      <c r="F119" s="84">
        <v>150700.0</v>
      </c>
    </row>
    <row r="120">
      <c r="A120" s="85" t="s">
        <v>727</v>
      </c>
      <c r="B120" s="85" t="s">
        <v>74</v>
      </c>
      <c r="C120" s="87" t="s">
        <v>181</v>
      </c>
      <c r="D120" s="87" t="s">
        <v>728</v>
      </c>
      <c r="E120" s="85" t="str">
        <f t="shared" si="2"/>
        <v>IX</v>
      </c>
      <c r="F120" s="84">
        <v>150700.0</v>
      </c>
    </row>
    <row r="121">
      <c r="A121" s="89" t="s">
        <v>729</v>
      </c>
      <c r="B121" s="85" t="s">
        <v>74</v>
      </c>
      <c r="C121" s="87" t="s">
        <v>181</v>
      </c>
      <c r="D121" s="91" t="s">
        <v>730</v>
      </c>
      <c r="E121" s="85" t="str">
        <f t="shared" si="2"/>
        <v>IX</v>
      </c>
      <c r="F121" s="84">
        <v>150700.0</v>
      </c>
    </row>
    <row r="122">
      <c r="A122" s="89" t="s">
        <v>731</v>
      </c>
      <c r="B122" s="89" t="s">
        <v>74</v>
      </c>
      <c r="C122" s="90" t="s">
        <v>181</v>
      </c>
      <c r="D122" s="90" t="s">
        <v>68</v>
      </c>
      <c r="E122" s="85" t="str">
        <f t="shared" si="2"/>
        <v>IX</v>
      </c>
      <c r="F122" s="6">
        <v>222700.0</v>
      </c>
    </row>
    <row r="123">
      <c r="A123" s="89" t="s">
        <v>732</v>
      </c>
      <c r="B123" s="89" t="s">
        <v>74</v>
      </c>
      <c r="C123" s="90" t="s">
        <v>181</v>
      </c>
      <c r="D123" s="96" t="s">
        <v>69</v>
      </c>
      <c r="E123" s="85" t="str">
        <f t="shared" si="2"/>
        <v>IX</v>
      </c>
      <c r="F123" s="6">
        <v>150700.0</v>
      </c>
    </row>
    <row r="124">
      <c r="A124" s="89" t="s">
        <v>733</v>
      </c>
      <c r="B124" s="89" t="s">
        <v>74</v>
      </c>
      <c r="C124" s="90" t="s">
        <v>181</v>
      </c>
      <c r="D124" s="96" t="s">
        <v>70</v>
      </c>
      <c r="E124" s="85" t="str">
        <f t="shared" si="2"/>
        <v>IX</v>
      </c>
      <c r="F124" s="6">
        <v>181300.0</v>
      </c>
    </row>
    <row r="125">
      <c r="A125" s="85" t="s">
        <v>734</v>
      </c>
      <c r="B125" s="85" t="s">
        <v>74</v>
      </c>
      <c r="C125" s="88" t="s">
        <v>181</v>
      </c>
      <c r="D125" s="88" t="s">
        <v>735</v>
      </c>
      <c r="E125" s="85" t="str">
        <f t="shared" si="2"/>
        <v>IX</v>
      </c>
      <c r="F125" s="84">
        <v>150700.0</v>
      </c>
    </row>
    <row r="126">
      <c r="A126" s="85" t="s">
        <v>736</v>
      </c>
      <c r="B126" s="85" t="s">
        <v>74</v>
      </c>
      <c r="C126" s="87" t="s">
        <v>181</v>
      </c>
      <c r="D126" s="82" t="s">
        <v>28</v>
      </c>
      <c r="E126" s="85" t="str">
        <f t="shared" si="2"/>
        <v>IX</v>
      </c>
      <c r="F126" s="84">
        <v>150700.0</v>
      </c>
    </row>
    <row r="127">
      <c r="A127" s="85" t="s">
        <v>737</v>
      </c>
      <c r="B127" s="85" t="s">
        <v>74</v>
      </c>
      <c r="C127" s="88" t="s">
        <v>181</v>
      </c>
      <c r="D127" s="88" t="s">
        <v>738</v>
      </c>
      <c r="E127" s="85" t="str">
        <f t="shared" si="2"/>
        <v>IX</v>
      </c>
      <c r="F127" s="84">
        <v>150700.0</v>
      </c>
    </row>
    <row r="128">
      <c r="A128" s="85" t="s">
        <v>739</v>
      </c>
      <c r="B128" s="85" t="s">
        <v>74</v>
      </c>
      <c r="C128" s="87" t="s">
        <v>181</v>
      </c>
      <c r="D128" s="87" t="s">
        <v>740</v>
      </c>
      <c r="E128" s="85" t="str">
        <f t="shared" si="2"/>
        <v>IX</v>
      </c>
      <c r="F128" s="84">
        <v>150700.0</v>
      </c>
    </row>
    <row r="129">
      <c r="A129" s="85" t="s">
        <v>741</v>
      </c>
      <c r="B129" s="85" t="s">
        <v>74</v>
      </c>
      <c r="C129" s="88" t="s">
        <v>181</v>
      </c>
      <c r="D129" s="88" t="s">
        <v>742</v>
      </c>
      <c r="E129" s="85" t="str">
        <f t="shared" si="2"/>
        <v>IX</v>
      </c>
      <c r="F129" s="84">
        <v>150700.0</v>
      </c>
    </row>
    <row r="130">
      <c r="A130" s="82" t="s">
        <v>743</v>
      </c>
      <c r="B130" s="85" t="s">
        <v>74</v>
      </c>
      <c r="C130" s="88" t="s">
        <v>181</v>
      </c>
      <c r="D130" s="90" t="s">
        <v>744</v>
      </c>
      <c r="E130" s="85" t="str">
        <f t="shared" si="2"/>
        <v>IX</v>
      </c>
      <c r="F130" s="84">
        <v>150700.0</v>
      </c>
    </row>
    <row r="131">
      <c r="A131" s="85" t="s">
        <v>745</v>
      </c>
      <c r="B131" s="85" t="s">
        <v>74</v>
      </c>
      <c r="C131" s="87" t="s">
        <v>181</v>
      </c>
      <c r="D131" s="87" t="s">
        <v>746</v>
      </c>
      <c r="E131" s="85" t="str">
        <f t="shared" si="2"/>
        <v>IX</v>
      </c>
      <c r="F131" s="84">
        <v>150700.0</v>
      </c>
    </row>
    <row r="132">
      <c r="A132" s="82" t="s">
        <v>756</v>
      </c>
      <c r="B132" s="83" t="s">
        <v>74</v>
      </c>
      <c r="C132" s="82" t="s">
        <v>181</v>
      </c>
      <c r="D132" s="82" t="s">
        <v>78</v>
      </c>
      <c r="E132" s="83" t="str">
        <f t="shared" si="2"/>
        <v>IX</v>
      </c>
      <c r="F132" s="3">
        <v>44400.0</v>
      </c>
    </row>
    <row r="133">
      <c r="A133" s="85" t="s">
        <v>747</v>
      </c>
      <c r="B133" s="85" t="s">
        <v>74</v>
      </c>
      <c r="C133" s="88" t="s">
        <v>337</v>
      </c>
      <c r="D133" s="88" t="s">
        <v>748</v>
      </c>
      <c r="E133" s="85" t="str">
        <f t="shared" si="2"/>
        <v>GP</v>
      </c>
      <c r="F133" s="84">
        <v>39100.0</v>
      </c>
    </row>
    <row r="134">
      <c r="A134" s="85" t="s">
        <v>749</v>
      </c>
      <c r="B134" s="85" t="s">
        <v>74</v>
      </c>
      <c r="C134" s="87" t="s">
        <v>334</v>
      </c>
      <c r="D134" s="87" t="s">
        <v>750</v>
      </c>
      <c r="E134" s="85" t="str">
        <f t="shared" si="2"/>
        <v>IX</v>
      </c>
      <c r="F134" s="84">
        <v>71700.0</v>
      </c>
    </row>
    <row r="135">
      <c r="A135" s="85" t="s">
        <v>751</v>
      </c>
      <c r="B135" s="85" t="s">
        <v>74</v>
      </c>
      <c r="C135" s="88" t="s">
        <v>334</v>
      </c>
      <c r="D135" s="88" t="s">
        <v>752</v>
      </c>
      <c r="E135" s="85" t="str">
        <f t="shared" si="2"/>
        <v>IX</v>
      </c>
      <c r="F135" s="84">
        <v>71700.0</v>
      </c>
    </row>
    <row r="136">
      <c r="A136" s="97" t="s">
        <v>21</v>
      </c>
      <c r="B136" s="95" t="s">
        <v>74</v>
      </c>
      <c r="C136" s="98" t="s">
        <v>334</v>
      </c>
      <c r="D136" s="99" t="s">
        <v>753</v>
      </c>
      <c r="E136" s="95" t="str">
        <f t="shared" si="2"/>
        <v>IX</v>
      </c>
      <c r="F136" s="84">
        <v>71700.0</v>
      </c>
    </row>
    <row r="137">
      <c r="A137" s="85" t="s">
        <v>754</v>
      </c>
      <c r="B137" s="85" t="s">
        <v>74</v>
      </c>
      <c r="C137" s="87" t="s">
        <v>337</v>
      </c>
      <c r="D137" s="87" t="s">
        <v>755</v>
      </c>
      <c r="E137" s="85" t="str">
        <f t="shared" si="2"/>
        <v>GP</v>
      </c>
      <c r="F137" s="84">
        <v>39100.0</v>
      </c>
    </row>
    <row r="138">
      <c r="A138" s="85" t="s">
        <v>757</v>
      </c>
      <c r="B138" s="85" t="s">
        <v>74</v>
      </c>
      <c r="C138" s="88" t="s">
        <v>337</v>
      </c>
      <c r="D138" s="88" t="s">
        <v>758</v>
      </c>
      <c r="E138" s="85" t="str">
        <f t="shared" si="2"/>
        <v>GP</v>
      </c>
      <c r="F138" s="1">
        <v>38000.0</v>
      </c>
    </row>
    <row r="139">
      <c r="A139" s="83" t="s">
        <v>759</v>
      </c>
      <c r="B139" s="85" t="s">
        <v>74</v>
      </c>
      <c r="C139" s="87" t="s">
        <v>334</v>
      </c>
      <c r="D139" s="87" t="s">
        <v>760</v>
      </c>
      <c r="E139" s="85" t="str">
        <f t="shared" si="2"/>
        <v>IX</v>
      </c>
      <c r="F139" s="84">
        <v>71700.0</v>
      </c>
    </row>
    <row r="140">
      <c r="A140" s="85" t="s">
        <v>761</v>
      </c>
      <c r="B140" s="85" t="s">
        <v>74</v>
      </c>
      <c r="C140" s="88" t="s">
        <v>337</v>
      </c>
      <c r="D140" s="88" t="s">
        <v>762</v>
      </c>
      <c r="E140" s="85" t="str">
        <f t="shared" si="2"/>
        <v>GP</v>
      </c>
      <c r="F140" s="84">
        <v>39100.0</v>
      </c>
    </row>
    <row r="141">
      <c r="A141" s="85" t="s">
        <v>763</v>
      </c>
      <c r="B141" s="85" t="s">
        <v>74</v>
      </c>
      <c r="C141" s="87" t="s">
        <v>337</v>
      </c>
      <c r="D141" s="87" t="s">
        <v>764</v>
      </c>
      <c r="E141" s="85" t="str">
        <f t="shared" si="2"/>
        <v>GP</v>
      </c>
      <c r="F141" s="84">
        <v>39100.0</v>
      </c>
    </row>
    <row r="142">
      <c r="A142" s="85" t="s">
        <v>765</v>
      </c>
      <c r="B142" s="85" t="s">
        <v>74</v>
      </c>
      <c r="C142" s="88" t="s">
        <v>337</v>
      </c>
      <c r="D142" s="88" t="s">
        <v>766</v>
      </c>
      <c r="E142" s="85" t="str">
        <f t="shared" si="2"/>
        <v>GP</v>
      </c>
      <c r="F142" s="84">
        <v>39100.0</v>
      </c>
    </row>
    <row r="143">
      <c r="A143" s="89" t="s">
        <v>767</v>
      </c>
      <c r="B143" s="85" t="s">
        <v>74</v>
      </c>
      <c r="C143" s="88" t="s">
        <v>337</v>
      </c>
      <c r="D143" s="90" t="s">
        <v>768</v>
      </c>
      <c r="E143" s="85" t="str">
        <f t="shared" si="2"/>
        <v>GP</v>
      </c>
      <c r="F143" s="84">
        <v>39100.0</v>
      </c>
    </row>
    <row r="144">
      <c r="A144" s="85" t="s">
        <v>769</v>
      </c>
      <c r="B144" s="85" t="s">
        <v>74</v>
      </c>
      <c r="C144" s="87" t="s">
        <v>334</v>
      </c>
      <c r="D144" s="91" t="s">
        <v>33</v>
      </c>
      <c r="E144" s="85" t="str">
        <f t="shared" si="2"/>
        <v>IX</v>
      </c>
      <c r="F144" s="84">
        <v>71700.0</v>
      </c>
    </row>
    <row r="145">
      <c r="A145" s="85" t="s">
        <v>770</v>
      </c>
      <c r="B145" s="85" t="s">
        <v>74</v>
      </c>
      <c r="C145" s="88" t="s">
        <v>535</v>
      </c>
      <c r="D145" s="88" t="s">
        <v>771</v>
      </c>
      <c r="E145" s="85" t="str">
        <f t="shared" si="2"/>
        <v>IX</v>
      </c>
      <c r="F145" s="84">
        <v>179500.0</v>
      </c>
    </row>
    <row r="146">
      <c r="A146" s="82" t="s">
        <v>772</v>
      </c>
      <c r="B146" s="82" t="s">
        <v>74</v>
      </c>
      <c r="C146" s="82" t="s">
        <v>337</v>
      </c>
      <c r="D146" s="82" t="s">
        <v>773</v>
      </c>
      <c r="E146" s="83" t="str">
        <f t="shared" si="2"/>
        <v>GP</v>
      </c>
      <c r="F146" s="84">
        <v>38000.0</v>
      </c>
    </row>
    <row r="147">
      <c r="A147" s="85" t="s">
        <v>774</v>
      </c>
      <c r="B147" s="85" t="s">
        <v>74</v>
      </c>
      <c r="C147" s="87" t="s">
        <v>334</v>
      </c>
      <c r="D147" s="87" t="s">
        <v>775</v>
      </c>
      <c r="E147" s="85" t="str">
        <f t="shared" si="2"/>
        <v>IX</v>
      </c>
      <c r="F147" s="84">
        <v>71700.0</v>
      </c>
    </row>
    <row r="148">
      <c r="A148" s="85" t="s">
        <v>776</v>
      </c>
      <c r="B148" s="85" t="s">
        <v>74</v>
      </c>
      <c r="C148" s="88" t="s">
        <v>181</v>
      </c>
      <c r="D148" s="88" t="s">
        <v>777</v>
      </c>
      <c r="E148" s="85" t="str">
        <f t="shared" si="2"/>
        <v>IX</v>
      </c>
      <c r="F148" s="84">
        <v>150700.0</v>
      </c>
    </row>
    <row r="149">
      <c r="A149" s="82" t="s">
        <v>778</v>
      </c>
      <c r="B149" s="85" t="s">
        <v>74</v>
      </c>
      <c r="C149" s="88" t="s">
        <v>181</v>
      </c>
      <c r="D149" s="90" t="s">
        <v>779</v>
      </c>
      <c r="E149" s="85" t="str">
        <f t="shared" si="2"/>
        <v>IX</v>
      </c>
      <c r="F149" s="84">
        <v>150700.0</v>
      </c>
    </row>
    <row r="150">
      <c r="A150" s="85" t="s">
        <v>780</v>
      </c>
      <c r="B150" s="85" t="s">
        <v>74</v>
      </c>
      <c r="C150" s="87" t="s">
        <v>181</v>
      </c>
      <c r="D150" s="87" t="s">
        <v>781</v>
      </c>
      <c r="E150" s="85" t="str">
        <f t="shared" si="2"/>
        <v>IX</v>
      </c>
      <c r="F150" s="84">
        <v>150700.0</v>
      </c>
    </row>
    <row r="151">
      <c r="A151" s="85" t="s">
        <v>782</v>
      </c>
      <c r="B151" s="85" t="s">
        <v>74</v>
      </c>
      <c r="C151" s="88" t="s">
        <v>181</v>
      </c>
      <c r="D151" s="88" t="s">
        <v>783</v>
      </c>
      <c r="E151" s="85" t="str">
        <f t="shared" si="2"/>
        <v>IX</v>
      </c>
      <c r="F151" s="84">
        <v>150700.0</v>
      </c>
    </row>
    <row r="152">
      <c r="A152" s="85" t="s">
        <v>784</v>
      </c>
      <c r="B152" s="85" t="s">
        <v>74</v>
      </c>
      <c r="C152" s="87" t="s">
        <v>535</v>
      </c>
      <c r="D152" s="87" t="s">
        <v>785</v>
      </c>
      <c r="E152" s="85" t="str">
        <f t="shared" si="2"/>
        <v>IX</v>
      </c>
      <c r="F152" s="84">
        <v>114500.0</v>
      </c>
    </row>
    <row r="153">
      <c r="A153" s="85" t="s">
        <v>786</v>
      </c>
      <c r="B153" s="85" t="s">
        <v>74</v>
      </c>
      <c r="C153" s="88" t="s">
        <v>535</v>
      </c>
      <c r="D153" s="88" t="s">
        <v>787</v>
      </c>
      <c r="E153" s="85" t="str">
        <f t="shared" si="2"/>
        <v>IX</v>
      </c>
      <c r="F153" s="84">
        <v>114500.0</v>
      </c>
    </row>
    <row r="154">
      <c r="A154" s="89" t="s">
        <v>788</v>
      </c>
      <c r="B154" s="85" t="s">
        <v>74</v>
      </c>
      <c r="C154" s="88" t="s">
        <v>535</v>
      </c>
      <c r="D154" s="90" t="s">
        <v>789</v>
      </c>
      <c r="E154" s="85" t="str">
        <f t="shared" si="2"/>
        <v>IX</v>
      </c>
      <c r="F154" s="84">
        <v>114500.0</v>
      </c>
    </row>
    <row r="155">
      <c r="A155" s="82" t="s">
        <v>790</v>
      </c>
      <c r="B155" s="85" t="s">
        <v>74</v>
      </c>
      <c r="C155" s="91" t="s">
        <v>334</v>
      </c>
      <c r="D155" s="91" t="s">
        <v>791</v>
      </c>
      <c r="E155" s="85" t="str">
        <f t="shared" si="2"/>
        <v>IX</v>
      </c>
      <c r="F155" s="84">
        <v>71700.0</v>
      </c>
    </row>
    <row r="156">
      <c r="A156" s="82" t="s">
        <v>792</v>
      </c>
      <c r="B156" s="85" t="s">
        <v>74</v>
      </c>
      <c r="C156" s="91" t="s">
        <v>334</v>
      </c>
      <c r="D156" s="91" t="s">
        <v>793</v>
      </c>
      <c r="E156" s="85" t="str">
        <f t="shared" si="2"/>
        <v>IX</v>
      </c>
      <c r="F156" s="84">
        <v>71700.0</v>
      </c>
    </row>
    <row r="157">
      <c r="A157" s="82" t="s">
        <v>794</v>
      </c>
      <c r="B157" s="83" t="s">
        <v>74</v>
      </c>
      <c r="C157" s="83" t="s">
        <v>535</v>
      </c>
      <c r="D157" s="82" t="s">
        <v>73</v>
      </c>
      <c r="E157" s="83" t="str">
        <f t="shared" si="2"/>
        <v>IX</v>
      </c>
      <c r="F157" s="92">
        <v>150700.0</v>
      </c>
    </row>
    <row r="158">
      <c r="A158" s="85" t="s">
        <v>795</v>
      </c>
      <c r="B158" s="85" t="s">
        <v>74</v>
      </c>
      <c r="C158" s="87" t="s">
        <v>535</v>
      </c>
      <c r="D158" s="87" t="s">
        <v>796</v>
      </c>
      <c r="E158" s="85" t="str">
        <f t="shared" si="2"/>
        <v>IX</v>
      </c>
      <c r="F158" s="84">
        <v>114500.0</v>
      </c>
    </row>
    <row r="159">
      <c r="A159" s="89" t="s">
        <v>797</v>
      </c>
      <c r="B159" s="89" t="s">
        <v>74</v>
      </c>
      <c r="C159" s="90" t="s">
        <v>535</v>
      </c>
      <c r="D159" s="90" t="s">
        <v>63</v>
      </c>
      <c r="E159" s="85" t="str">
        <f t="shared" si="2"/>
        <v>IX</v>
      </c>
      <c r="F159" s="1">
        <v>114500.0</v>
      </c>
    </row>
    <row r="160">
      <c r="A160" s="85" t="s">
        <v>798</v>
      </c>
      <c r="B160" s="85" t="s">
        <v>74</v>
      </c>
      <c r="C160" s="88" t="s">
        <v>330</v>
      </c>
      <c r="D160" s="88" t="s">
        <v>799</v>
      </c>
      <c r="E160" s="85" t="str">
        <f t="shared" si="2"/>
        <v>IX</v>
      </c>
      <c r="F160" s="1">
        <v>403000.0</v>
      </c>
    </row>
    <row r="161">
      <c r="A161" s="85" t="s">
        <v>800</v>
      </c>
      <c r="B161" s="85" t="s">
        <v>74</v>
      </c>
      <c r="C161" s="87" t="s">
        <v>330</v>
      </c>
      <c r="D161" s="87" t="s">
        <v>801</v>
      </c>
      <c r="E161" s="85" t="str">
        <f t="shared" si="2"/>
        <v>IX</v>
      </c>
      <c r="F161" s="1">
        <v>403000.0</v>
      </c>
    </row>
    <row r="162">
      <c r="A162" s="100" t="s">
        <v>802</v>
      </c>
      <c r="B162" s="85" t="s">
        <v>74</v>
      </c>
      <c r="C162" s="88" t="s">
        <v>330</v>
      </c>
      <c r="D162" s="88" t="s">
        <v>803</v>
      </c>
      <c r="E162" s="85" t="str">
        <f t="shared" si="2"/>
        <v>IX</v>
      </c>
      <c r="F162" s="1">
        <v>372000.0</v>
      </c>
    </row>
    <row r="163">
      <c r="A163" s="85" t="s">
        <v>804</v>
      </c>
      <c r="B163" s="85" t="s">
        <v>74</v>
      </c>
      <c r="C163" s="87" t="s">
        <v>181</v>
      </c>
      <c r="D163" s="87" t="s">
        <v>805</v>
      </c>
      <c r="E163" s="85" t="str">
        <f t="shared" si="2"/>
        <v>IX</v>
      </c>
      <c r="F163" s="1">
        <v>372000.0</v>
      </c>
    </row>
    <row r="164">
      <c r="A164" s="85" t="s">
        <v>806</v>
      </c>
      <c r="B164" s="85" t="s">
        <v>74</v>
      </c>
      <c r="C164" s="88" t="s">
        <v>181</v>
      </c>
      <c r="D164" s="82" t="s">
        <v>807</v>
      </c>
      <c r="E164" s="85" t="str">
        <f t="shared" si="2"/>
        <v>IX</v>
      </c>
      <c r="F164" s="84">
        <v>150700.0</v>
      </c>
    </row>
    <row r="165">
      <c r="A165" s="89" t="s">
        <v>808</v>
      </c>
      <c r="B165" s="89" t="s">
        <v>74</v>
      </c>
      <c r="C165" s="91" t="s">
        <v>181</v>
      </c>
      <c r="D165" s="91" t="s">
        <v>62</v>
      </c>
      <c r="E165" s="85" t="str">
        <f t="shared" si="2"/>
        <v>IX</v>
      </c>
      <c r="F165" s="6">
        <v>150700.0</v>
      </c>
    </row>
    <row r="166">
      <c r="A166" s="82" t="s">
        <v>809</v>
      </c>
      <c r="B166" s="82" t="s">
        <v>74</v>
      </c>
      <c r="C166" s="82" t="s">
        <v>181</v>
      </c>
      <c r="D166" s="82" t="s">
        <v>75</v>
      </c>
      <c r="E166" s="83" t="str">
        <f t="shared" si="2"/>
        <v>IX</v>
      </c>
      <c r="F166" s="92">
        <v>150700.0</v>
      </c>
    </row>
    <row r="167">
      <c r="A167" s="85" t="s">
        <v>810</v>
      </c>
      <c r="B167" s="85" t="s">
        <v>74</v>
      </c>
      <c r="C167" s="87" t="s">
        <v>181</v>
      </c>
      <c r="D167" s="87" t="s">
        <v>811</v>
      </c>
      <c r="E167" s="85" t="str">
        <f t="shared" si="2"/>
        <v>IX</v>
      </c>
      <c r="F167" s="84">
        <v>150700.0</v>
      </c>
    </row>
    <row r="168">
      <c r="A168" s="89" t="s">
        <v>812</v>
      </c>
      <c r="B168" s="85" t="s">
        <v>74</v>
      </c>
      <c r="C168" s="87" t="s">
        <v>181</v>
      </c>
      <c r="D168" s="91" t="s">
        <v>813</v>
      </c>
      <c r="E168" s="85" t="str">
        <f t="shared" si="2"/>
        <v>IX</v>
      </c>
      <c r="F168" s="84">
        <v>150700.0</v>
      </c>
    </row>
    <row r="169">
      <c r="A169" s="88" t="s">
        <v>814</v>
      </c>
      <c r="B169" s="85" t="s">
        <v>74</v>
      </c>
      <c r="C169" s="88" t="s">
        <v>181</v>
      </c>
      <c r="D169" s="88" t="s">
        <v>815</v>
      </c>
      <c r="E169" s="85" t="str">
        <f t="shared" si="2"/>
        <v>IX</v>
      </c>
      <c r="F169" s="84">
        <v>150700.0</v>
      </c>
    </row>
    <row r="170">
      <c r="A170" s="85" t="s">
        <v>816</v>
      </c>
      <c r="B170" s="85" t="s">
        <v>74</v>
      </c>
      <c r="C170" s="87" t="s">
        <v>181</v>
      </c>
      <c r="D170" s="87" t="s">
        <v>817</v>
      </c>
      <c r="E170" s="85" t="str">
        <f t="shared" si="2"/>
        <v>IX</v>
      </c>
      <c r="F170" s="84">
        <v>150700.0</v>
      </c>
    </row>
    <row r="171">
      <c r="A171" s="83" t="s">
        <v>818</v>
      </c>
      <c r="B171" s="85" t="s">
        <v>74</v>
      </c>
      <c r="C171" s="88" t="s">
        <v>181</v>
      </c>
      <c r="D171" s="88" t="s">
        <v>819</v>
      </c>
      <c r="E171" s="85" t="str">
        <f t="shared" si="2"/>
        <v>IX</v>
      </c>
      <c r="F171" s="1">
        <v>150700.0</v>
      </c>
    </row>
    <row r="172">
      <c r="A172" s="85" t="s">
        <v>820</v>
      </c>
      <c r="B172" s="85" t="s">
        <v>74</v>
      </c>
      <c r="C172" s="87" t="s">
        <v>181</v>
      </c>
      <c r="D172" s="87" t="s">
        <v>821</v>
      </c>
      <c r="E172" s="85" t="str">
        <f t="shared" si="2"/>
        <v>IX</v>
      </c>
      <c r="F172" s="84">
        <v>150700.0</v>
      </c>
    </row>
    <row r="173">
      <c r="A173" s="85" t="s">
        <v>822</v>
      </c>
      <c r="B173" s="85" t="s">
        <v>74</v>
      </c>
      <c r="C173" s="88" t="s">
        <v>181</v>
      </c>
      <c r="D173" s="88" t="s">
        <v>823</v>
      </c>
      <c r="E173" s="85" t="str">
        <f t="shared" si="2"/>
        <v>IX</v>
      </c>
      <c r="F173" s="84">
        <v>150700.0</v>
      </c>
    </row>
    <row r="174">
      <c r="A174" s="82" t="s">
        <v>824</v>
      </c>
      <c r="B174" s="85" t="s">
        <v>74</v>
      </c>
      <c r="C174" s="88" t="s">
        <v>181</v>
      </c>
      <c r="D174" s="90" t="s">
        <v>825</v>
      </c>
      <c r="E174" s="85" t="str">
        <f t="shared" si="2"/>
        <v>IX</v>
      </c>
      <c r="F174" s="84">
        <v>150700.0</v>
      </c>
    </row>
    <row r="175">
      <c r="A175" s="85" t="s">
        <v>826</v>
      </c>
      <c r="B175" s="85" t="s">
        <v>74</v>
      </c>
      <c r="C175" s="87" t="s">
        <v>181</v>
      </c>
      <c r="D175" s="87" t="s">
        <v>827</v>
      </c>
      <c r="E175" s="85" t="str">
        <f t="shared" si="2"/>
        <v>IX</v>
      </c>
      <c r="F175" s="84">
        <v>150700.0</v>
      </c>
    </row>
    <row r="176">
      <c r="A176" s="82" t="s">
        <v>52</v>
      </c>
      <c r="B176" s="85" t="s">
        <v>74</v>
      </c>
      <c r="C176" s="90" t="s">
        <v>337</v>
      </c>
      <c r="D176" s="90" t="s">
        <v>53</v>
      </c>
      <c r="E176" s="85" t="str">
        <f t="shared" si="2"/>
        <v>GP</v>
      </c>
      <c r="F176" s="84">
        <v>26800.0</v>
      </c>
    </row>
    <row r="177">
      <c r="A177" s="85" t="s">
        <v>828</v>
      </c>
      <c r="B177" s="85" t="s">
        <v>74</v>
      </c>
      <c r="C177" s="88" t="s">
        <v>337</v>
      </c>
      <c r="D177" s="88" t="s">
        <v>829</v>
      </c>
      <c r="E177" s="85" t="str">
        <f t="shared" si="2"/>
        <v>GP</v>
      </c>
      <c r="F177" s="84">
        <v>26800.0</v>
      </c>
    </row>
    <row r="178">
      <c r="A178" s="85" t="s">
        <v>830</v>
      </c>
      <c r="B178" s="85" t="s">
        <v>74</v>
      </c>
      <c r="C178" s="87" t="s">
        <v>334</v>
      </c>
      <c r="D178" s="87" t="s">
        <v>831</v>
      </c>
      <c r="E178" s="85" t="str">
        <f t="shared" si="2"/>
        <v>IX</v>
      </c>
      <c r="F178" s="84">
        <v>71700.0</v>
      </c>
    </row>
    <row r="179">
      <c r="A179" s="85" t="s">
        <v>832</v>
      </c>
      <c r="B179" s="85" t="s">
        <v>74</v>
      </c>
      <c r="C179" s="88" t="s">
        <v>337</v>
      </c>
      <c r="D179" s="88" t="s">
        <v>833</v>
      </c>
      <c r="E179" s="85" t="str">
        <f t="shared" si="2"/>
        <v>GP</v>
      </c>
      <c r="F179" s="84">
        <v>26800.0</v>
      </c>
    </row>
    <row r="180">
      <c r="A180" s="85" t="s">
        <v>834</v>
      </c>
      <c r="B180" s="85" t="s">
        <v>74</v>
      </c>
      <c r="C180" s="87" t="s">
        <v>337</v>
      </c>
      <c r="D180" s="87" t="s">
        <v>835</v>
      </c>
      <c r="E180" s="85" t="str">
        <f t="shared" si="2"/>
        <v>GP</v>
      </c>
      <c r="F180" s="84">
        <v>26800.0</v>
      </c>
    </row>
    <row r="181">
      <c r="A181" s="85" t="s">
        <v>836</v>
      </c>
      <c r="B181" s="85" t="s">
        <v>74</v>
      </c>
      <c r="C181" s="88" t="s">
        <v>334</v>
      </c>
      <c r="D181" s="88" t="s">
        <v>837</v>
      </c>
      <c r="E181" s="85" t="str">
        <f t="shared" si="2"/>
        <v>IX</v>
      </c>
      <c r="F181" s="84">
        <v>71700.0</v>
      </c>
    </row>
    <row r="182">
      <c r="A182" s="85" t="s">
        <v>838</v>
      </c>
      <c r="B182" s="85" t="s">
        <v>74</v>
      </c>
      <c r="C182" s="87" t="s">
        <v>337</v>
      </c>
      <c r="D182" s="87" t="s">
        <v>839</v>
      </c>
      <c r="E182" s="85" t="str">
        <f t="shared" si="2"/>
        <v>GP</v>
      </c>
      <c r="F182" s="84">
        <v>26800.0</v>
      </c>
    </row>
    <row r="183">
      <c r="A183" s="85" t="s">
        <v>840</v>
      </c>
      <c r="B183" s="85" t="s">
        <v>74</v>
      </c>
      <c r="C183" s="88" t="s">
        <v>334</v>
      </c>
      <c r="D183" s="88" t="s">
        <v>841</v>
      </c>
      <c r="E183" s="85" t="str">
        <f t="shared" si="2"/>
        <v>IX</v>
      </c>
      <c r="F183" s="84">
        <v>71700.0</v>
      </c>
    </row>
    <row r="184">
      <c r="A184" s="85" t="s">
        <v>842</v>
      </c>
      <c r="B184" s="85" t="s">
        <v>74</v>
      </c>
      <c r="C184" s="87" t="s">
        <v>330</v>
      </c>
      <c r="D184" s="87" t="s">
        <v>843</v>
      </c>
      <c r="E184" s="85" t="str">
        <f t="shared" si="2"/>
        <v>IX</v>
      </c>
      <c r="F184" s="1">
        <v>372000.0</v>
      </c>
    </row>
    <row r="185">
      <c r="A185" s="85" t="s">
        <v>844</v>
      </c>
      <c r="B185" s="85" t="s">
        <v>74</v>
      </c>
      <c r="C185" s="88" t="s">
        <v>330</v>
      </c>
      <c r="D185" s="88" t="s">
        <v>845</v>
      </c>
      <c r="E185" s="85" t="str">
        <f t="shared" si="2"/>
        <v>IX</v>
      </c>
      <c r="F185" s="1">
        <v>372000.0</v>
      </c>
    </row>
    <row r="186">
      <c r="A186" s="85" t="s">
        <v>846</v>
      </c>
      <c r="B186" s="85" t="s">
        <v>74</v>
      </c>
      <c r="C186" s="87" t="s">
        <v>330</v>
      </c>
      <c r="D186" s="87" t="s">
        <v>847</v>
      </c>
      <c r="E186" s="85" t="str">
        <f t="shared" si="2"/>
        <v>IX</v>
      </c>
      <c r="F186" s="1">
        <v>372000.0</v>
      </c>
    </row>
    <row r="187">
      <c r="A187" s="85" t="s">
        <v>848</v>
      </c>
      <c r="B187" s="85" t="s">
        <v>74</v>
      </c>
      <c r="C187" s="88" t="s">
        <v>330</v>
      </c>
      <c r="D187" s="88" t="s">
        <v>849</v>
      </c>
      <c r="E187" s="85" t="str">
        <f t="shared" si="2"/>
        <v>IX</v>
      </c>
      <c r="F187" s="1">
        <v>372000.0</v>
      </c>
    </row>
    <row r="188">
      <c r="A188" s="85" t="s">
        <v>850</v>
      </c>
      <c r="B188" s="85" t="s">
        <v>74</v>
      </c>
      <c r="C188" s="87" t="s">
        <v>330</v>
      </c>
      <c r="D188" s="87" t="s">
        <v>851</v>
      </c>
      <c r="E188" s="85" t="str">
        <f t="shared" si="2"/>
        <v>IX</v>
      </c>
      <c r="F188" s="1">
        <v>372000.0</v>
      </c>
    </row>
    <row r="189">
      <c r="A189" s="85" t="s">
        <v>852</v>
      </c>
      <c r="B189" s="85" t="s">
        <v>74</v>
      </c>
      <c r="C189" s="88" t="s">
        <v>330</v>
      </c>
      <c r="D189" s="88" t="s">
        <v>853</v>
      </c>
      <c r="E189" s="85" t="str">
        <f t="shared" si="2"/>
        <v>IX</v>
      </c>
      <c r="F189" s="1">
        <v>504000.0</v>
      </c>
    </row>
    <row r="190">
      <c r="A190" s="85" t="s">
        <v>854</v>
      </c>
      <c r="B190" s="85" t="s">
        <v>74</v>
      </c>
      <c r="C190" s="87" t="s">
        <v>330</v>
      </c>
      <c r="D190" s="87" t="s">
        <v>855</v>
      </c>
      <c r="E190" s="85" t="str">
        <f t="shared" si="2"/>
        <v>IX</v>
      </c>
      <c r="F190" s="1">
        <v>504000.0</v>
      </c>
    </row>
    <row r="191">
      <c r="A191" s="85" t="s">
        <v>856</v>
      </c>
      <c r="B191" s="85" t="s">
        <v>74</v>
      </c>
      <c r="C191" s="88" t="s">
        <v>181</v>
      </c>
      <c r="D191" s="88" t="s">
        <v>857</v>
      </c>
      <c r="E191" s="85" t="str">
        <f t="shared" si="2"/>
        <v>IX</v>
      </c>
      <c r="F191" s="84">
        <v>623500.0</v>
      </c>
    </row>
    <row r="192">
      <c r="A192" s="83" t="s">
        <v>858</v>
      </c>
      <c r="B192" s="85" t="s">
        <v>74</v>
      </c>
      <c r="C192" s="87" t="s">
        <v>181</v>
      </c>
      <c r="D192" s="82" t="s">
        <v>26</v>
      </c>
      <c r="E192" s="85" t="str">
        <f t="shared" si="2"/>
        <v>IX</v>
      </c>
      <c r="F192" s="84">
        <v>150700.0</v>
      </c>
    </row>
    <row r="193">
      <c r="A193" s="83" t="s">
        <v>859</v>
      </c>
      <c r="B193" s="85" t="s">
        <v>74</v>
      </c>
      <c r="C193" s="88" t="s">
        <v>181</v>
      </c>
      <c r="D193" s="88" t="s">
        <v>860</v>
      </c>
      <c r="E193" s="85" t="str">
        <f t="shared" si="2"/>
        <v>IX</v>
      </c>
      <c r="F193" s="1">
        <v>150700.0</v>
      </c>
    </row>
    <row r="194">
      <c r="A194" s="83" t="s">
        <v>861</v>
      </c>
      <c r="B194" s="85" t="s">
        <v>74</v>
      </c>
      <c r="C194" s="87" t="s">
        <v>181</v>
      </c>
      <c r="D194" s="82" t="s">
        <v>862</v>
      </c>
      <c r="E194" s="85" t="str">
        <f t="shared" si="2"/>
        <v>IX</v>
      </c>
      <c r="F194" s="84">
        <v>246200.0</v>
      </c>
    </row>
    <row r="195">
      <c r="A195" s="83" t="s">
        <v>863</v>
      </c>
      <c r="B195" s="85" t="s">
        <v>74</v>
      </c>
      <c r="C195" s="88" t="s">
        <v>334</v>
      </c>
      <c r="D195" s="82" t="s">
        <v>31</v>
      </c>
      <c r="E195" s="85" t="str">
        <f t="shared" si="2"/>
        <v>IX</v>
      </c>
      <c r="F195" s="1">
        <v>71700.0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8.38"/>
    <col customWidth="1" min="3" max="3" width="7.63"/>
    <col customWidth="1" min="4" max="4" width="15.75"/>
    <col customWidth="1" min="5" max="5" width="14.38"/>
  </cols>
  <sheetData>
    <row r="1">
      <c r="A1" s="123" t="s">
        <v>182</v>
      </c>
      <c r="B1" s="123" t="s">
        <v>174</v>
      </c>
      <c r="C1" s="123" t="s">
        <v>175</v>
      </c>
      <c r="D1" s="123" t="s">
        <v>176</v>
      </c>
      <c r="E1" s="124" t="s">
        <v>183</v>
      </c>
      <c r="F1" s="1" t="s">
        <v>1142</v>
      </c>
    </row>
    <row r="2">
      <c r="A2" s="82" t="s">
        <v>185</v>
      </c>
      <c r="B2" s="82" t="s">
        <v>72</v>
      </c>
      <c r="C2" s="82" t="s">
        <v>186</v>
      </c>
      <c r="D2" s="82" t="s">
        <v>187</v>
      </c>
      <c r="E2" s="83" t="str">
        <f t="shared" ref="E2:E66" si="1">if(C2="YL","Ni",if(C2="GP","GP",if(C2="RACING","IX",if(C2="IL","IX",if(C2="IX","IX",if(C2="PL","IX","NONE"))))))</f>
        <v>Ni</v>
      </c>
      <c r="F2" s="84">
        <v>76200.0</v>
      </c>
    </row>
    <row r="3">
      <c r="A3" s="85" t="s">
        <v>188</v>
      </c>
      <c r="B3" s="85" t="s">
        <v>72</v>
      </c>
      <c r="C3" s="86" t="s">
        <v>186</v>
      </c>
      <c r="D3" s="86" t="s">
        <v>189</v>
      </c>
      <c r="E3" s="85" t="str">
        <f t="shared" si="1"/>
        <v>Ni</v>
      </c>
      <c r="F3" s="84">
        <v>15900.0</v>
      </c>
    </row>
    <row r="4">
      <c r="A4" s="85" t="s">
        <v>190</v>
      </c>
      <c r="B4" s="85" t="s">
        <v>72</v>
      </c>
      <c r="C4" s="87" t="s">
        <v>186</v>
      </c>
      <c r="D4" s="87" t="s">
        <v>191</v>
      </c>
      <c r="E4" s="85" t="str">
        <f t="shared" si="1"/>
        <v>Ni</v>
      </c>
      <c r="F4" s="84">
        <v>14200.0</v>
      </c>
    </row>
    <row r="5">
      <c r="A5" s="85" t="s">
        <v>192</v>
      </c>
      <c r="B5" s="85" t="s">
        <v>72</v>
      </c>
      <c r="C5" s="88" t="s">
        <v>186</v>
      </c>
      <c r="D5" s="88" t="s">
        <v>193</v>
      </c>
      <c r="E5" s="85" t="str">
        <f t="shared" si="1"/>
        <v>Ni</v>
      </c>
      <c r="F5" s="84">
        <v>15900.0</v>
      </c>
    </row>
    <row r="6">
      <c r="A6" s="85" t="s">
        <v>194</v>
      </c>
      <c r="B6" s="85" t="s">
        <v>72</v>
      </c>
      <c r="C6" s="87" t="s">
        <v>186</v>
      </c>
      <c r="D6" s="87" t="s">
        <v>195</v>
      </c>
      <c r="E6" s="85" t="str">
        <f t="shared" si="1"/>
        <v>Ni</v>
      </c>
      <c r="F6" s="84">
        <v>15900.0</v>
      </c>
    </row>
    <row r="7">
      <c r="A7" s="85" t="s">
        <v>196</v>
      </c>
      <c r="B7" s="85" t="s">
        <v>72</v>
      </c>
      <c r="C7" s="88" t="s">
        <v>186</v>
      </c>
      <c r="D7" s="88" t="s">
        <v>197</v>
      </c>
      <c r="E7" s="85" t="str">
        <f t="shared" si="1"/>
        <v>Ni</v>
      </c>
      <c r="F7" s="84">
        <v>15900.0</v>
      </c>
    </row>
    <row r="8">
      <c r="A8" s="85" t="s">
        <v>198</v>
      </c>
      <c r="B8" s="85" t="s">
        <v>72</v>
      </c>
      <c r="C8" s="87" t="s">
        <v>186</v>
      </c>
      <c r="D8" s="87" t="s">
        <v>199</v>
      </c>
      <c r="E8" s="85" t="str">
        <f t="shared" si="1"/>
        <v>Ni</v>
      </c>
      <c r="F8" s="84">
        <v>15900.0</v>
      </c>
    </row>
    <row r="9">
      <c r="A9" s="85" t="s">
        <v>200</v>
      </c>
      <c r="B9" s="85" t="s">
        <v>72</v>
      </c>
      <c r="C9" s="88" t="s">
        <v>186</v>
      </c>
      <c r="D9" s="88" t="s">
        <v>201</v>
      </c>
      <c r="E9" s="85" t="str">
        <f t="shared" si="1"/>
        <v>Ni</v>
      </c>
      <c r="F9" s="84">
        <v>37000.0</v>
      </c>
    </row>
    <row r="10">
      <c r="A10" s="85" t="s">
        <v>202</v>
      </c>
      <c r="B10" s="85" t="s">
        <v>72</v>
      </c>
      <c r="C10" s="88" t="s">
        <v>186</v>
      </c>
      <c r="D10" s="88" t="s">
        <v>203</v>
      </c>
      <c r="E10" s="85" t="str">
        <f t="shared" si="1"/>
        <v>Ni</v>
      </c>
      <c r="F10" s="126">
        <v>37000.0</v>
      </c>
    </row>
    <row r="11">
      <c r="A11" s="85" t="s">
        <v>204</v>
      </c>
      <c r="B11" s="85" t="s">
        <v>72</v>
      </c>
      <c r="C11" s="87" t="s">
        <v>186</v>
      </c>
      <c r="D11" s="87" t="s">
        <v>205</v>
      </c>
      <c r="E11" s="85" t="str">
        <f t="shared" si="1"/>
        <v>Ni</v>
      </c>
      <c r="F11" s="84">
        <v>15900.0</v>
      </c>
    </row>
    <row r="12">
      <c r="A12" s="85" t="s">
        <v>206</v>
      </c>
      <c r="B12" s="85" t="s">
        <v>72</v>
      </c>
      <c r="C12" s="88" t="s">
        <v>186</v>
      </c>
      <c r="D12" s="88" t="s">
        <v>207</v>
      </c>
      <c r="E12" s="85" t="str">
        <f t="shared" si="1"/>
        <v>Ni</v>
      </c>
      <c r="F12" s="84">
        <v>15900.0</v>
      </c>
    </row>
    <row r="13">
      <c r="A13" s="85" t="s">
        <v>208</v>
      </c>
      <c r="B13" s="85" t="s">
        <v>72</v>
      </c>
      <c r="C13" s="87" t="s">
        <v>186</v>
      </c>
      <c r="D13" s="87" t="s">
        <v>209</v>
      </c>
      <c r="E13" s="85" t="str">
        <f t="shared" si="1"/>
        <v>Ni</v>
      </c>
      <c r="F13" s="84">
        <v>15900.0</v>
      </c>
    </row>
    <row r="14">
      <c r="A14" s="85" t="s">
        <v>210</v>
      </c>
      <c r="B14" s="85" t="s">
        <v>72</v>
      </c>
      <c r="C14" s="88" t="s">
        <v>186</v>
      </c>
      <c r="D14" s="88" t="s">
        <v>211</v>
      </c>
      <c r="E14" s="85" t="str">
        <f t="shared" si="1"/>
        <v>Ni</v>
      </c>
      <c r="F14" s="84">
        <v>15900.0</v>
      </c>
    </row>
    <row r="15">
      <c r="A15" s="85" t="s">
        <v>212</v>
      </c>
      <c r="B15" s="85" t="s">
        <v>72</v>
      </c>
      <c r="C15" s="87" t="s">
        <v>186</v>
      </c>
      <c r="D15" s="87" t="s">
        <v>213</v>
      </c>
      <c r="E15" s="85" t="str">
        <f t="shared" si="1"/>
        <v>Ni</v>
      </c>
      <c r="F15" s="84">
        <v>15900.0</v>
      </c>
    </row>
    <row r="16">
      <c r="A16" s="85" t="s">
        <v>214</v>
      </c>
      <c r="B16" s="85" t="s">
        <v>72</v>
      </c>
      <c r="C16" s="88" t="s">
        <v>186</v>
      </c>
      <c r="D16" s="88" t="s">
        <v>215</v>
      </c>
      <c r="E16" s="85" t="str">
        <f t="shared" si="1"/>
        <v>Ni</v>
      </c>
      <c r="F16" s="84">
        <v>14200.0</v>
      </c>
    </row>
    <row r="17">
      <c r="A17" s="85" t="s">
        <v>216</v>
      </c>
      <c r="B17" s="85" t="s">
        <v>72</v>
      </c>
      <c r="C17" s="87" t="s">
        <v>186</v>
      </c>
      <c r="D17" s="87" t="s">
        <v>217</v>
      </c>
      <c r="E17" s="85" t="str">
        <f t="shared" si="1"/>
        <v>Ni</v>
      </c>
      <c r="F17" s="84">
        <v>13100.0</v>
      </c>
    </row>
    <row r="18">
      <c r="A18" s="85" t="s">
        <v>218</v>
      </c>
      <c r="B18" s="85" t="s">
        <v>72</v>
      </c>
      <c r="C18" s="88" t="s">
        <v>186</v>
      </c>
      <c r="D18" s="88" t="s">
        <v>219</v>
      </c>
      <c r="E18" s="85" t="str">
        <f t="shared" si="1"/>
        <v>Ni</v>
      </c>
      <c r="F18" s="84">
        <v>14200.0</v>
      </c>
    </row>
    <row r="19">
      <c r="A19" s="85" t="s">
        <v>220</v>
      </c>
      <c r="B19" s="85" t="s">
        <v>72</v>
      </c>
      <c r="C19" s="87" t="s">
        <v>186</v>
      </c>
      <c r="D19" s="87" t="s">
        <v>221</v>
      </c>
      <c r="E19" s="85" t="str">
        <f t="shared" si="1"/>
        <v>Ni</v>
      </c>
      <c r="F19" s="84">
        <v>14200.0</v>
      </c>
    </row>
    <row r="20">
      <c r="A20" s="85" t="s">
        <v>222</v>
      </c>
      <c r="B20" s="85" t="s">
        <v>72</v>
      </c>
      <c r="C20" s="88" t="s">
        <v>186</v>
      </c>
      <c r="D20" s="88" t="s">
        <v>223</v>
      </c>
      <c r="E20" s="85" t="str">
        <f t="shared" si="1"/>
        <v>Ni</v>
      </c>
      <c r="F20" s="84">
        <v>15900.0</v>
      </c>
    </row>
    <row r="21">
      <c r="A21" s="85" t="s">
        <v>224</v>
      </c>
      <c r="B21" s="85" t="s">
        <v>72</v>
      </c>
      <c r="C21" s="87" t="s">
        <v>186</v>
      </c>
      <c r="D21" s="87" t="s">
        <v>225</v>
      </c>
      <c r="E21" s="85" t="str">
        <f t="shared" si="1"/>
        <v>Ni</v>
      </c>
      <c r="F21" s="84">
        <v>12900.0</v>
      </c>
    </row>
    <row r="22">
      <c r="A22" s="85" t="s">
        <v>226</v>
      </c>
      <c r="B22" s="85" t="s">
        <v>72</v>
      </c>
      <c r="C22" s="88" t="s">
        <v>186</v>
      </c>
      <c r="D22" s="88" t="s">
        <v>227</v>
      </c>
      <c r="E22" s="85" t="str">
        <f t="shared" si="1"/>
        <v>Ni</v>
      </c>
      <c r="F22" s="84">
        <v>43750.0</v>
      </c>
    </row>
    <row r="23">
      <c r="A23" s="85" t="s">
        <v>228</v>
      </c>
      <c r="B23" s="85" t="s">
        <v>72</v>
      </c>
      <c r="C23" s="87" t="s">
        <v>186</v>
      </c>
      <c r="D23" s="87" t="s">
        <v>229</v>
      </c>
      <c r="E23" s="85" t="str">
        <f t="shared" si="1"/>
        <v>Ni</v>
      </c>
      <c r="F23" s="84">
        <v>14200.0</v>
      </c>
    </row>
    <row r="24">
      <c r="A24" s="85" t="s">
        <v>230</v>
      </c>
      <c r="B24" s="85" t="s">
        <v>72</v>
      </c>
      <c r="C24" s="88" t="s">
        <v>186</v>
      </c>
      <c r="D24" s="88" t="s">
        <v>231</v>
      </c>
      <c r="E24" s="85" t="str">
        <f t="shared" si="1"/>
        <v>Ni</v>
      </c>
      <c r="F24" s="84">
        <v>34600.0</v>
      </c>
    </row>
    <row r="25">
      <c r="A25" s="85" t="s">
        <v>232</v>
      </c>
      <c r="B25" s="85" t="s">
        <v>72</v>
      </c>
      <c r="C25" s="87" t="s">
        <v>186</v>
      </c>
      <c r="D25" s="87" t="s">
        <v>233</v>
      </c>
      <c r="E25" s="85" t="str">
        <f t="shared" si="1"/>
        <v>Ni</v>
      </c>
      <c r="F25" s="84">
        <v>34600.0</v>
      </c>
    </row>
    <row r="26">
      <c r="A26" s="85" t="s">
        <v>234</v>
      </c>
      <c r="B26" s="85" t="s">
        <v>72</v>
      </c>
      <c r="C26" s="88" t="s">
        <v>186</v>
      </c>
      <c r="D26" s="88" t="s">
        <v>235</v>
      </c>
      <c r="E26" s="85" t="str">
        <f t="shared" si="1"/>
        <v>Ni</v>
      </c>
      <c r="F26" s="84">
        <v>12900.0</v>
      </c>
    </row>
    <row r="27">
      <c r="A27" s="85" t="s">
        <v>236</v>
      </c>
      <c r="B27" s="85" t="s">
        <v>72</v>
      </c>
      <c r="C27" s="87" t="s">
        <v>186</v>
      </c>
      <c r="D27" s="87" t="s">
        <v>237</v>
      </c>
      <c r="E27" s="85" t="str">
        <f t="shared" si="1"/>
        <v>Ni</v>
      </c>
      <c r="F27" s="84">
        <v>12900.0</v>
      </c>
    </row>
    <row r="28">
      <c r="A28" s="85" t="s">
        <v>238</v>
      </c>
      <c r="B28" s="85" t="s">
        <v>72</v>
      </c>
      <c r="C28" s="88" t="s">
        <v>186</v>
      </c>
      <c r="D28" s="88" t="s">
        <v>239</v>
      </c>
      <c r="E28" s="85" t="str">
        <f t="shared" si="1"/>
        <v>Ni</v>
      </c>
      <c r="F28" s="84">
        <v>12900.0</v>
      </c>
    </row>
    <row r="29">
      <c r="A29" s="85" t="s">
        <v>240</v>
      </c>
      <c r="B29" s="85" t="s">
        <v>72</v>
      </c>
      <c r="C29" s="87" t="s">
        <v>186</v>
      </c>
      <c r="D29" s="87" t="s">
        <v>241</v>
      </c>
      <c r="E29" s="85" t="str">
        <f t="shared" si="1"/>
        <v>Ni</v>
      </c>
      <c r="F29" s="84">
        <v>12900.0</v>
      </c>
    </row>
    <row r="30">
      <c r="A30" s="85" t="s">
        <v>242</v>
      </c>
      <c r="B30" s="85" t="s">
        <v>72</v>
      </c>
      <c r="C30" s="88" t="s">
        <v>186</v>
      </c>
      <c r="D30" s="88" t="s">
        <v>243</v>
      </c>
      <c r="E30" s="85" t="str">
        <f t="shared" si="1"/>
        <v>Ni</v>
      </c>
      <c r="F30" s="84">
        <v>49900.0</v>
      </c>
    </row>
    <row r="31">
      <c r="A31" s="85" t="s">
        <v>244</v>
      </c>
      <c r="B31" s="85" t="s">
        <v>72</v>
      </c>
      <c r="C31" s="87" t="s">
        <v>186</v>
      </c>
      <c r="D31" s="87" t="s">
        <v>245</v>
      </c>
      <c r="E31" s="85" t="str">
        <f t="shared" si="1"/>
        <v>Ni</v>
      </c>
      <c r="F31" s="84">
        <v>49900.0</v>
      </c>
    </row>
    <row r="32">
      <c r="A32" s="89" t="s">
        <v>246</v>
      </c>
      <c r="B32" s="85" t="s">
        <v>72</v>
      </c>
      <c r="C32" s="87" t="s">
        <v>186</v>
      </c>
      <c r="D32" s="90" t="s">
        <v>247</v>
      </c>
      <c r="E32" s="85" t="str">
        <f t="shared" si="1"/>
        <v>Ni</v>
      </c>
      <c r="F32" s="6">
        <v>49900.0</v>
      </c>
    </row>
    <row r="33">
      <c r="A33" s="85" t="s">
        <v>248</v>
      </c>
      <c r="B33" s="85" t="s">
        <v>72</v>
      </c>
      <c r="C33" s="88" t="s">
        <v>186</v>
      </c>
      <c r="D33" s="88" t="s">
        <v>249</v>
      </c>
      <c r="E33" s="85" t="str">
        <f t="shared" si="1"/>
        <v>Ni</v>
      </c>
      <c r="F33" s="84">
        <v>13900.0</v>
      </c>
    </row>
    <row r="34">
      <c r="A34" s="89" t="s">
        <v>250</v>
      </c>
      <c r="B34" s="85" t="s">
        <v>72</v>
      </c>
      <c r="C34" s="88" t="s">
        <v>186</v>
      </c>
      <c r="D34" s="91" t="s">
        <v>77</v>
      </c>
      <c r="E34" s="85" t="str">
        <f t="shared" si="1"/>
        <v>Ni</v>
      </c>
      <c r="F34" s="6">
        <v>15900.0</v>
      </c>
    </row>
    <row r="35">
      <c r="A35" s="85" t="s">
        <v>251</v>
      </c>
      <c r="B35" s="85" t="s">
        <v>72</v>
      </c>
      <c r="C35" s="87" t="s">
        <v>186</v>
      </c>
      <c r="D35" s="87" t="s">
        <v>252</v>
      </c>
      <c r="E35" s="85" t="str">
        <f t="shared" si="1"/>
        <v>Ni</v>
      </c>
      <c r="F35" s="84">
        <v>14200.0</v>
      </c>
    </row>
    <row r="36">
      <c r="A36" s="85" t="s">
        <v>253</v>
      </c>
      <c r="B36" s="85" t="s">
        <v>72</v>
      </c>
      <c r="C36" s="88" t="s">
        <v>186</v>
      </c>
      <c r="D36" s="88" t="s">
        <v>254</v>
      </c>
      <c r="E36" s="85" t="str">
        <f t="shared" si="1"/>
        <v>Ni</v>
      </c>
      <c r="F36" s="84">
        <v>14200.0</v>
      </c>
    </row>
    <row r="37">
      <c r="A37" s="85" t="s">
        <v>255</v>
      </c>
      <c r="B37" s="85" t="s">
        <v>72</v>
      </c>
      <c r="C37" s="87" t="s">
        <v>186</v>
      </c>
      <c r="D37" s="87" t="s">
        <v>256</v>
      </c>
      <c r="E37" s="85" t="str">
        <f t="shared" si="1"/>
        <v>Ni</v>
      </c>
      <c r="F37" s="84">
        <v>14200.0</v>
      </c>
    </row>
    <row r="38">
      <c r="A38" s="85" t="s">
        <v>257</v>
      </c>
      <c r="B38" s="85" t="s">
        <v>72</v>
      </c>
      <c r="C38" s="88" t="s">
        <v>186</v>
      </c>
      <c r="D38" s="88" t="s">
        <v>258</v>
      </c>
      <c r="E38" s="85" t="str">
        <f t="shared" si="1"/>
        <v>Ni</v>
      </c>
      <c r="F38" s="84">
        <v>115100.0</v>
      </c>
    </row>
    <row r="39">
      <c r="A39" s="89" t="s">
        <v>259</v>
      </c>
      <c r="B39" s="85" t="s">
        <v>72</v>
      </c>
      <c r="C39" s="88" t="s">
        <v>186</v>
      </c>
      <c r="D39" s="90" t="s">
        <v>260</v>
      </c>
      <c r="E39" s="85" t="str">
        <f t="shared" si="1"/>
        <v>Ni</v>
      </c>
      <c r="F39" s="84">
        <v>115100.0</v>
      </c>
    </row>
    <row r="40">
      <c r="A40" s="85" t="s">
        <v>261</v>
      </c>
      <c r="B40" s="85" t="s">
        <v>72</v>
      </c>
      <c r="C40" s="87" t="s">
        <v>186</v>
      </c>
      <c r="D40" s="87" t="s">
        <v>262</v>
      </c>
      <c r="E40" s="85" t="str">
        <f t="shared" si="1"/>
        <v>Ni</v>
      </c>
      <c r="F40" s="84">
        <v>14200.0</v>
      </c>
    </row>
    <row r="41">
      <c r="A41" s="85" t="s">
        <v>263</v>
      </c>
      <c r="B41" s="85" t="s">
        <v>72</v>
      </c>
      <c r="C41" s="88" t="s">
        <v>186</v>
      </c>
      <c r="D41" s="88" t="s">
        <v>264</v>
      </c>
      <c r="E41" s="85" t="str">
        <f t="shared" si="1"/>
        <v>Ni</v>
      </c>
      <c r="F41" s="84">
        <v>14200.0</v>
      </c>
    </row>
    <row r="42">
      <c r="A42" s="85" t="s">
        <v>265</v>
      </c>
      <c r="B42" s="85" t="s">
        <v>72</v>
      </c>
      <c r="C42" s="87" t="s">
        <v>186</v>
      </c>
      <c r="D42" s="87" t="s">
        <v>266</v>
      </c>
      <c r="E42" s="85" t="str">
        <f t="shared" si="1"/>
        <v>Ni</v>
      </c>
      <c r="F42" s="84">
        <v>14200.0</v>
      </c>
    </row>
    <row r="43">
      <c r="A43" s="85" t="s">
        <v>267</v>
      </c>
      <c r="B43" s="85" t="s">
        <v>72</v>
      </c>
      <c r="C43" s="88" t="s">
        <v>186</v>
      </c>
      <c r="D43" s="88" t="s">
        <v>268</v>
      </c>
      <c r="E43" s="85" t="str">
        <f t="shared" si="1"/>
        <v>Ni</v>
      </c>
      <c r="F43" s="84">
        <v>49000.0</v>
      </c>
    </row>
    <row r="44">
      <c r="A44" s="85" t="s">
        <v>269</v>
      </c>
      <c r="B44" s="85" t="s">
        <v>72</v>
      </c>
      <c r="C44" s="87" t="s">
        <v>186</v>
      </c>
      <c r="D44" s="87" t="s">
        <v>270</v>
      </c>
      <c r="E44" s="85" t="str">
        <f t="shared" si="1"/>
        <v>Ni</v>
      </c>
      <c r="F44" s="84">
        <v>14200.0</v>
      </c>
    </row>
    <row r="45">
      <c r="A45" s="85" t="s">
        <v>271</v>
      </c>
      <c r="B45" s="85" t="s">
        <v>72</v>
      </c>
      <c r="C45" s="88" t="s">
        <v>186</v>
      </c>
      <c r="D45" s="88" t="s">
        <v>272</v>
      </c>
      <c r="E45" s="85" t="str">
        <f t="shared" si="1"/>
        <v>Ni</v>
      </c>
      <c r="F45" s="84">
        <v>14200.0</v>
      </c>
    </row>
    <row r="46">
      <c r="A46" s="85" t="s">
        <v>273</v>
      </c>
      <c r="B46" s="85" t="s">
        <v>72</v>
      </c>
      <c r="C46" s="88" t="s">
        <v>186</v>
      </c>
      <c r="D46" s="87" t="s">
        <v>274</v>
      </c>
      <c r="E46" s="85" t="str">
        <f t="shared" si="1"/>
        <v>Ni</v>
      </c>
      <c r="F46" s="126">
        <v>83900.0</v>
      </c>
    </row>
    <row r="47">
      <c r="A47" s="85" t="s">
        <v>279</v>
      </c>
      <c r="B47" s="85" t="s">
        <v>72</v>
      </c>
      <c r="C47" s="88" t="s">
        <v>186</v>
      </c>
      <c r="D47" s="87" t="s">
        <v>280</v>
      </c>
      <c r="E47" s="85" t="str">
        <f t="shared" si="1"/>
        <v>Ni</v>
      </c>
      <c r="F47" s="126">
        <v>49000.0</v>
      </c>
    </row>
    <row r="48">
      <c r="A48" s="85" t="s">
        <v>275</v>
      </c>
      <c r="B48" s="85" t="s">
        <v>72</v>
      </c>
      <c r="C48" s="87" t="s">
        <v>186</v>
      </c>
      <c r="D48" s="87" t="s">
        <v>276</v>
      </c>
      <c r="E48" s="85" t="str">
        <f t="shared" si="1"/>
        <v>Ni</v>
      </c>
      <c r="F48" s="84">
        <v>53850.0</v>
      </c>
    </row>
    <row r="49">
      <c r="A49" s="85" t="s">
        <v>277</v>
      </c>
      <c r="B49" s="85" t="s">
        <v>72</v>
      </c>
      <c r="C49" s="88" t="s">
        <v>186</v>
      </c>
      <c r="D49" s="88" t="s">
        <v>278</v>
      </c>
      <c r="E49" s="85" t="str">
        <f t="shared" si="1"/>
        <v>Ni</v>
      </c>
      <c r="F49" s="84">
        <v>49000.0</v>
      </c>
    </row>
    <row r="50">
      <c r="A50" s="85" t="s">
        <v>281</v>
      </c>
      <c r="B50" s="85" t="s">
        <v>72</v>
      </c>
      <c r="C50" s="87" t="s">
        <v>186</v>
      </c>
      <c r="D50" s="87" t="s">
        <v>282</v>
      </c>
      <c r="E50" s="85" t="str">
        <f t="shared" si="1"/>
        <v>Ni</v>
      </c>
      <c r="F50" s="84">
        <v>14200.0</v>
      </c>
    </row>
    <row r="51">
      <c r="A51" s="85" t="s">
        <v>283</v>
      </c>
      <c r="B51" s="85" t="s">
        <v>72</v>
      </c>
      <c r="C51" s="88" t="s">
        <v>186</v>
      </c>
      <c r="D51" s="88" t="s">
        <v>284</v>
      </c>
      <c r="E51" s="85" t="str">
        <f t="shared" si="1"/>
        <v>Ni</v>
      </c>
      <c r="F51" s="84">
        <v>97100.0</v>
      </c>
    </row>
    <row r="52">
      <c r="A52" s="85" t="s">
        <v>285</v>
      </c>
      <c r="B52" s="85" t="s">
        <v>72</v>
      </c>
      <c r="C52" s="87" t="s">
        <v>186</v>
      </c>
      <c r="D52" s="87" t="s">
        <v>286</v>
      </c>
      <c r="E52" s="85" t="str">
        <f t="shared" si="1"/>
        <v>Ni</v>
      </c>
      <c r="F52" s="84">
        <v>13100.0</v>
      </c>
    </row>
    <row r="53">
      <c r="A53" s="85" t="s">
        <v>287</v>
      </c>
      <c r="B53" s="85" t="s">
        <v>72</v>
      </c>
      <c r="C53" s="88" t="s">
        <v>186</v>
      </c>
      <c r="D53" s="88" t="s">
        <v>288</v>
      </c>
      <c r="E53" s="85" t="str">
        <f t="shared" si="1"/>
        <v>Ni</v>
      </c>
      <c r="F53" s="84">
        <v>13100.0</v>
      </c>
    </row>
    <row r="54">
      <c r="A54" s="85" t="s">
        <v>289</v>
      </c>
      <c r="B54" s="85" t="s">
        <v>72</v>
      </c>
      <c r="C54" s="87" t="s">
        <v>186</v>
      </c>
      <c r="D54" s="87" t="s">
        <v>290</v>
      </c>
      <c r="E54" s="85" t="str">
        <f t="shared" si="1"/>
        <v>Ni</v>
      </c>
      <c r="F54" s="84">
        <v>14200.0</v>
      </c>
    </row>
    <row r="55">
      <c r="A55" s="85" t="s">
        <v>291</v>
      </c>
      <c r="B55" s="85" t="s">
        <v>72</v>
      </c>
      <c r="C55" s="88" t="s">
        <v>186</v>
      </c>
      <c r="D55" s="88" t="s">
        <v>292</v>
      </c>
      <c r="E55" s="85" t="str">
        <f t="shared" si="1"/>
        <v>Ni</v>
      </c>
      <c r="F55" s="84">
        <v>51100.0</v>
      </c>
    </row>
    <row r="56">
      <c r="A56" s="89" t="s">
        <v>293</v>
      </c>
      <c r="B56" s="85" t="s">
        <v>72</v>
      </c>
      <c r="C56" s="88" t="s">
        <v>186</v>
      </c>
      <c r="D56" s="90" t="s">
        <v>294</v>
      </c>
      <c r="E56" s="85" t="str">
        <f t="shared" si="1"/>
        <v>Ni</v>
      </c>
      <c r="F56" s="84">
        <v>51100.0</v>
      </c>
    </row>
    <row r="57">
      <c r="A57" s="85" t="s">
        <v>295</v>
      </c>
      <c r="B57" s="85" t="s">
        <v>72</v>
      </c>
      <c r="C57" s="87" t="s">
        <v>186</v>
      </c>
      <c r="D57" s="87" t="s">
        <v>296</v>
      </c>
      <c r="E57" s="85" t="str">
        <f t="shared" si="1"/>
        <v>Ni</v>
      </c>
      <c r="F57" s="84">
        <v>150700.0</v>
      </c>
    </row>
    <row r="58">
      <c r="A58" s="85" t="s">
        <v>297</v>
      </c>
      <c r="B58" s="85" t="s">
        <v>72</v>
      </c>
      <c r="C58" s="88" t="s">
        <v>186</v>
      </c>
      <c r="D58" s="88" t="s">
        <v>298</v>
      </c>
      <c r="E58" s="85" t="str">
        <f t="shared" si="1"/>
        <v>Ni</v>
      </c>
      <c r="F58" s="84">
        <v>51100.0</v>
      </c>
    </row>
    <row r="59">
      <c r="A59" s="82" t="s">
        <v>299</v>
      </c>
      <c r="B59" s="83" t="s">
        <v>72</v>
      </c>
      <c r="C59" s="83" t="s">
        <v>186</v>
      </c>
      <c r="D59" s="82" t="s">
        <v>300</v>
      </c>
      <c r="E59" s="83" t="str">
        <f t="shared" si="1"/>
        <v>Ni</v>
      </c>
      <c r="F59" s="84">
        <v>150700.0</v>
      </c>
    </row>
    <row r="60">
      <c r="A60" s="85" t="s">
        <v>301</v>
      </c>
      <c r="B60" s="85" t="s">
        <v>72</v>
      </c>
      <c r="C60" s="87" t="s">
        <v>186</v>
      </c>
      <c r="D60" s="87" t="s">
        <v>302</v>
      </c>
      <c r="E60" s="85" t="str">
        <f t="shared" si="1"/>
        <v>Ni</v>
      </c>
      <c r="F60" s="84">
        <v>150700.0</v>
      </c>
    </row>
    <row r="61">
      <c r="A61" s="85" t="s">
        <v>303</v>
      </c>
      <c r="B61" s="85" t="s">
        <v>72</v>
      </c>
      <c r="C61" s="88" t="s">
        <v>186</v>
      </c>
      <c r="D61" s="88" t="s">
        <v>304</v>
      </c>
      <c r="E61" s="85" t="str">
        <f t="shared" si="1"/>
        <v>Ni</v>
      </c>
      <c r="F61" s="84">
        <v>150700.0</v>
      </c>
    </row>
    <row r="62">
      <c r="A62" s="85" t="s">
        <v>306</v>
      </c>
      <c r="B62" s="85" t="s">
        <v>72</v>
      </c>
      <c r="C62" s="87" t="s">
        <v>186</v>
      </c>
      <c r="D62" s="87" t="s">
        <v>307</v>
      </c>
      <c r="E62" s="85" t="str">
        <f t="shared" si="1"/>
        <v>Ni</v>
      </c>
      <c r="F62" s="84">
        <v>150700.0</v>
      </c>
    </row>
    <row r="63">
      <c r="A63" s="82" t="s">
        <v>305</v>
      </c>
      <c r="B63" s="83" t="s">
        <v>72</v>
      </c>
      <c r="C63" s="83" t="s">
        <v>186</v>
      </c>
      <c r="D63" s="82" t="s">
        <v>71</v>
      </c>
      <c r="E63" s="83" t="str">
        <f t="shared" si="1"/>
        <v>Ni</v>
      </c>
      <c r="F63" s="92">
        <v>222700.0</v>
      </c>
    </row>
    <row r="64">
      <c r="A64" s="85" t="s">
        <v>308</v>
      </c>
      <c r="B64" s="85" t="s">
        <v>72</v>
      </c>
      <c r="C64" s="88" t="s">
        <v>186</v>
      </c>
      <c r="D64" s="88" t="s">
        <v>309</v>
      </c>
      <c r="E64" s="85" t="str">
        <f t="shared" si="1"/>
        <v>Ni</v>
      </c>
      <c r="F64" s="84">
        <v>150700.0</v>
      </c>
    </row>
    <row r="65">
      <c r="A65" s="82" t="s">
        <v>49</v>
      </c>
      <c r="B65" s="89" t="s">
        <v>72</v>
      </c>
      <c r="C65" s="91" t="s">
        <v>186</v>
      </c>
      <c r="D65" s="91" t="s">
        <v>50</v>
      </c>
      <c r="E65" s="85" t="str">
        <f t="shared" si="1"/>
        <v>Ni</v>
      </c>
      <c r="F65" s="84">
        <v>150700.0</v>
      </c>
    </row>
    <row r="66">
      <c r="A66" s="85" t="s">
        <v>310</v>
      </c>
      <c r="B66" s="85" t="s">
        <v>72</v>
      </c>
      <c r="C66" s="87" t="s">
        <v>186</v>
      </c>
      <c r="D66" s="87" t="s">
        <v>311</v>
      </c>
      <c r="E66" s="85" t="str">
        <f t="shared" si="1"/>
        <v>Ni</v>
      </c>
      <c r="F66" s="84">
        <v>18200.0</v>
      </c>
    </row>
    <row r="67">
      <c r="A67" s="89" t="s">
        <v>312</v>
      </c>
      <c r="B67" s="89" t="s">
        <v>72</v>
      </c>
      <c r="C67" s="90" t="s">
        <v>186</v>
      </c>
      <c r="D67" s="90" t="s">
        <v>313</v>
      </c>
      <c r="E67" s="89" t="s">
        <v>314</v>
      </c>
      <c r="F67" s="6">
        <v>18200.0</v>
      </c>
    </row>
    <row r="68">
      <c r="A68" s="85" t="s">
        <v>315</v>
      </c>
      <c r="B68" s="85" t="s">
        <v>72</v>
      </c>
      <c r="C68" s="88" t="s">
        <v>186</v>
      </c>
      <c r="D68" s="88" t="s">
        <v>316</v>
      </c>
      <c r="E68" s="85" t="str">
        <f t="shared" ref="E68:E189" si="2">if(C68="YL","Ni",if(C68="GP","GP",if(C68="RACING","IX",if(C68="IL","IX",if(C68="IX","IX",if(C68="PL","IX","NONE"))))))</f>
        <v>Ni</v>
      </c>
      <c r="F68" s="84">
        <v>20000.0</v>
      </c>
    </row>
    <row r="69">
      <c r="A69" s="85" t="s">
        <v>317</v>
      </c>
      <c r="B69" s="85" t="s">
        <v>72</v>
      </c>
      <c r="C69" s="87" t="s">
        <v>186</v>
      </c>
      <c r="D69" s="93" t="s">
        <v>318</v>
      </c>
      <c r="E69" s="85" t="str">
        <f t="shared" si="2"/>
        <v>Ni</v>
      </c>
      <c r="F69" s="84">
        <v>14200.0</v>
      </c>
    </row>
    <row r="70">
      <c r="A70" s="85" t="s">
        <v>319</v>
      </c>
      <c r="B70" s="85" t="s">
        <v>72</v>
      </c>
      <c r="C70" s="88" t="s">
        <v>186</v>
      </c>
      <c r="D70" s="93" t="s">
        <v>320</v>
      </c>
      <c r="E70" s="85" t="str">
        <f t="shared" si="2"/>
        <v>Ni</v>
      </c>
      <c r="F70" s="84">
        <v>14200.0</v>
      </c>
    </row>
    <row r="71">
      <c r="A71" s="85" t="s">
        <v>321</v>
      </c>
      <c r="B71" s="85" t="s">
        <v>72</v>
      </c>
      <c r="C71" s="87" t="s">
        <v>186</v>
      </c>
      <c r="D71" s="93" t="s">
        <v>322</v>
      </c>
      <c r="E71" s="85" t="str">
        <f t="shared" si="2"/>
        <v>Ni</v>
      </c>
      <c r="F71" s="84">
        <v>14200.0</v>
      </c>
    </row>
    <row r="72">
      <c r="A72" s="82" t="s">
        <v>323</v>
      </c>
      <c r="B72" s="83" t="s">
        <v>72</v>
      </c>
      <c r="C72" s="83" t="s">
        <v>186</v>
      </c>
      <c r="D72" s="82" t="s">
        <v>17</v>
      </c>
      <c r="E72" s="85" t="str">
        <f t="shared" si="2"/>
        <v>Ni</v>
      </c>
      <c r="F72" s="84">
        <v>14200.0</v>
      </c>
    </row>
    <row r="73">
      <c r="A73" s="82" t="s">
        <v>324</v>
      </c>
      <c r="B73" s="83" t="s">
        <v>72</v>
      </c>
      <c r="C73" s="83" t="s">
        <v>186</v>
      </c>
      <c r="D73" s="82" t="s">
        <v>19</v>
      </c>
      <c r="E73" s="85" t="str">
        <f t="shared" si="2"/>
        <v>Ni</v>
      </c>
      <c r="F73" s="84">
        <v>14200.0</v>
      </c>
    </row>
    <row r="74">
      <c r="A74" s="82" t="s">
        <v>325</v>
      </c>
      <c r="B74" s="83" t="s">
        <v>72</v>
      </c>
      <c r="C74" s="83" t="s">
        <v>186</v>
      </c>
      <c r="D74" s="82" t="s">
        <v>20</v>
      </c>
      <c r="E74" s="85" t="str">
        <f t="shared" si="2"/>
        <v>Ni</v>
      </c>
      <c r="F74" s="84">
        <v>14200.0</v>
      </c>
    </row>
    <row r="75">
      <c r="A75" s="85" t="s">
        <v>326</v>
      </c>
      <c r="B75" s="85" t="s">
        <v>72</v>
      </c>
      <c r="C75" s="88" t="s">
        <v>186</v>
      </c>
      <c r="D75" s="88" t="s">
        <v>327</v>
      </c>
      <c r="E75" s="85" t="str">
        <f t="shared" si="2"/>
        <v>Ni</v>
      </c>
      <c r="F75" s="84">
        <v>150700.0</v>
      </c>
    </row>
    <row r="76">
      <c r="A76" s="89" t="s">
        <v>328</v>
      </c>
      <c r="B76" s="89" t="s">
        <v>329</v>
      </c>
      <c r="C76" s="91" t="s">
        <v>330</v>
      </c>
      <c r="D76" s="91" t="s">
        <v>65</v>
      </c>
      <c r="E76" s="85" t="str">
        <f t="shared" si="2"/>
        <v>IX</v>
      </c>
      <c r="F76" s="6">
        <v>64600.0</v>
      </c>
    </row>
    <row r="77">
      <c r="A77" s="89" t="s">
        <v>331</v>
      </c>
      <c r="B77" s="89" t="s">
        <v>329</v>
      </c>
      <c r="C77" s="91" t="s">
        <v>330</v>
      </c>
      <c r="D77" s="91" t="s">
        <v>66</v>
      </c>
      <c r="E77" s="85" t="str">
        <f t="shared" si="2"/>
        <v>IX</v>
      </c>
      <c r="F77" s="6">
        <v>64600.0</v>
      </c>
    </row>
    <row r="78">
      <c r="A78" s="89" t="s">
        <v>332</v>
      </c>
      <c r="B78" s="89" t="s">
        <v>329</v>
      </c>
      <c r="C78" s="91" t="s">
        <v>330</v>
      </c>
      <c r="D78" s="91" t="s">
        <v>67</v>
      </c>
      <c r="E78" s="85" t="str">
        <f t="shared" si="2"/>
        <v>IX</v>
      </c>
      <c r="F78" s="6">
        <v>64600.0</v>
      </c>
    </row>
    <row r="79">
      <c r="A79" s="85" t="s">
        <v>333</v>
      </c>
      <c r="B79" s="85" t="s">
        <v>329</v>
      </c>
      <c r="C79" s="87" t="s">
        <v>334</v>
      </c>
      <c r="D79" s="87" t="s">
        <v>335</v>
      </c>
      <c r="E79" s="85" t="str">
        <f t="shared" si="2"/>
        <v>IX</v>
      </c>
      <c r="F79" s="84">
        <v>71700.0</v>
      </c>
    </row>
    <row r="80">
      <c r="A80" s="85" t="s">
        <v>336</v>
      </c>
      <c r="B80" s="85" t="s">
        <v>329</v>
      </c>
      <c r="C80" s="88" t="s">
        <v>337</v>
      </c>
      <c r="D80" s="88" t="s">
        <v>338</v>
      </c>
      <c r="E80" s="85" t="str">
        <f t="shared" si="2"/>
        <v>GP</v>
      </c>
      <c r="F80" s="84">
        <v>26800.0</v>
      </c>
    </row>
    <row r="81">
      <c r="A81" s="89" t="s">
        <v>339</v>
      </c>
      <c r="B81" s="85" t="s">
        <v>329</v>
      </c>
      <c r="C81" s="88" t="s">
        <v>337</v>
      </c>
      <c r="D81" s="90" t="s">
        <v>340</v>
      </c>
      <c r="E81" s="85" t="str">
        <f t="shared" si="2"/>
        <v>GP</v>
      </c>
      <c r="F81" s="84">
        <v>26800.0</v>
      </c>
    </row>
    <row r="82">
      <c r="A82" s="85" t="s">
        <v>341</v>
      </c>
      <c r="B82" s="85" t="s">
        <v>329</v>
      </c>
      <c r="C82" s="87" t="s">
        <v>334</v>
      </c>
      <c r="D82" s="87" t="s">
        <v>342</v>
      </c>
      <c r="E82" s="85" t="str">
        <f t="shared" si="2"/>
        <v>IX</v>
      </c>
      <c r="F82" s="84">
        <v>71700.0</v>
      </c>
    </row>
    <row r="83">
      <c r="A83" s="85" t="s">
        <v>343</v>
      </c>
      <c r="B83" s="85" t="s">
        <v>329</v>
      </c>
      <c r="C83" s="88" t="s">
        <v>334</v>
      </c>
      <c r="D83" s="88" t="s">
        <v>344</v>
      </c>
      <c r="E83" s="85" t="str">
        <f t="shared" si="2"/>
        <v>IX</v>
      </c>
      <c r="F83" s="84">
        <v>71700.0</v>
      </c>
    </row>
    <row r="84">
      <c r="A84" s="85" t="s">
        <v>345</v>
      </c>
      <c r="B84" s="85" t="s">
        <v>329</v>
      </c>
      <c r="C84" s="87" t="s">
        <v>334</v>
      </c>
      <c r="D84" s="87" t="s">
        <v>346</v>
      </c>
      <c r="E84" s="85" t="str">
        <f t="shared" si="2"/>
        <v>IX</v>
      </c>
      <c r="F84" s="1">
        <v>71700.0</v>
      </c>
    </row>
    <row r="85">
      <c r="A85" s="85" t="s">
        <v>347</v>
      </c>
      <c r="B85" s="85" t="s">
        <v>329</v>
      </c>
      <c r="C85" s="88" t="s">
        <v>334</v>
      </c>
      <c r="D85" s="88" t="s">
        <v>348</v>
      </c>
      <c r="E85" s="85" t="str">
        <f t="shared" si="2"/>
        <v>IX</v>
      </c>
      <c r="F85" s="84">
        <v>71700.0</v>
      </c>
    </row>
    <row r="86">
      <c r="A86" s="82" t="s">
        <v>349</v>
      </c>
      <c r="B86" s="85" t="s">
        <v>329</v>
      </c>
      <c r="C86" s="88" t="s">
        <v>334</v>
      </c>
      <c r="D86" s="90" t="s">
        <v>350</v>
      </c>
      <c r="E86" s="85" t="str">
        <f t="shared" si="2"/>
        <v>IX</v>
      </c>
      <c r="F86" s="84">
        <v>71700.0</v>
      </c>
    </row>
    <row r="87">
      <c r="A87" s="85" t="s">
        <v>351</v>
      </c>
      <c r="B87" s="85" t="s">
        <v>329</v>
      </c>
      <c r="C87" s="87" t="s">
        <v>334</v>
      </c>
      <c r="D87" s="87" t="s">
        <v>352</v>
      </c>
      <c r="E87" s="85" t="str">
        <f t="shared" si="2"/>
        <v>IX</v>
      </c>
      <c r="F87" s="84">
        <v>71700.0</v>
      </c>
    </row>
    <row r="88">
      <c r="A88" s="85" t="s">
        <v>353</v>
      </c>
      <c r="B88" s="85" t="s">
        <v>329</v>
      </c>
      <c r="C88" s="88" t="s">
        <v>337</v>
      </c>
      <c r="D88" s="88" t="s">
        <v>354</v>
      </c>
      <c r="E88" s="85" t="str">
        <f t="shared" si="2"/>
        <v>GP</v>
      </c>
      <c r="F88" s="84">
        <v>26800.0</v>
      </c>
    </row>
    <row r="89">
      <c r="A89" s="82" t="s">
        <v>355</v>
      </c>
      <c r="B89" s="85" t="s">
        <v>329</v>
      </c>
      <c r="C89" s="88" t="s">
        <v>337</v>
      </c>
      <c r="D89" s="90" t="s">
        <v>356</v>
      </c>
      <c r="E89" s="85" t="str">
        <f t="shared" si="2"/>
        <v>GP</v>
      </c>
      <c r="F89" s="84">
        <v>26800.0</v>
      </c>
    </row>
    <row r="90">
      <c r="A90" s="85" t="s">
        <v>357</v>
      </c>
      <c r="B90" s="85" t="s">
        <v>329</v>
      </c>
      <c r="C90" s="87" t="s">
        <v>334</v>
      </c>
      <c r="D90" s="87" t="s">
        <v>358</v>
      </c>
      <c r="E90" s="85" t="str">
        <f t="shared" si="2"/>
        <v>IX</v>
      </c>
      <c r="F90" s="84">
        <v>71700.0</v>
      </c>
    </row>
    <row r="91">
      <c r="A91" s="85" t="s">
        <v>359</v>
      </c>
      <c r="B91" s="85" t="s">
        <v>329</v>
      </c>
      <c r="C91" s="88" t="s">
        <v>337</v>
      </c>
      <c r="D91" s="88" t="s">
        <v>360</v>
      </c>
      <c r="E91" s="85" t="str">
        <f t="shared" si="2"/>
        <v>GP</v>
      </c>
      <c r="F91" s="84">
        <v>26800.0</v>
      </c>
    </row>
    <row r="92">
      <c r="A92" s="94" t="s">
        <v>361</v>
      </c>
      <c r="B92" s="85" t="s">
        <v>329</v>
      </c>
      <c r="C92" s="88" t="s">
        <v>337</v>
      </c>
      <c r="D92" s="90" t="s">
        <v>362</v>
      </c>
      <c r="E92" s="85" t="str">
        <f t="shared" si="2"/>
        <v>GP</v>
      </c>
      <c r="F92" s="84">
        <v>26800.0</v>
      </c>
    </row>
    <row r="93">
      <c r="A93" s="85" t="s">
        <v>363</v>
      </c>
      <c r="B93" s="85" t="s">
        <v>329</v>
      </c>
      <c r="C93" s="87" t="s">
        <v>334</v>
      </c>
      <c r="D93" s="91" t="s">
        <v>45</v>
      </c>
      <c r="E93" s="85" t="str">
        <f t="shared" si="2"/>
        <v>IX</v>
      </c>
      <c r="F93" s="84">
        <v>71700.0</v>
      </c>
    </row>
    <row r="94">
      <c r="A94" s="85" t="s">
        <v>364</v>
      </c>
      <c r="B94" s="85" t="s">
        <v>329</v>
      </c>
      <c r="C94" s="88" t="s">
        <v>334</v>
      </c>
      <c r="D94" s="90" t="s">
        <v>44</v>
      </c>
      <c r="E94" s="85" t="str">
        <f t="shared" si="2"/>
        <v>IX</v>
      </c>
      <c r="F94" s="84">
        <v>71700.0</v>
      </c>
    </row>
    <row r="95">
      <c r="A95" s="85" t="s">
        <v>367</v>
      </c>
      <c r="B95" s="85" t="s">
        <v>329</v>
      </c>
      <c r="C95" s="87" t="s">
        <v>334</v>
      </c>
      <c r="D95" s="91" t="s">
        <v>43</v>
      </c>
      <c r="E95" s="85" t="str">
        <f t="shared" si="2"/>
        <v>IX</v>
      </c>
      <c r="F95" s="84">
        <v>71700.0</v>
      </c>
    </row>
    <row r="96">
      <c r="A96" s="89" t="s">
        <v>365</v>
      </c>
      <c r="B96" s="89" t="s">
        <v>72</v>
      </c>
      <c r="C96" s="91" t="s">
        <v>186</v>
      </c>
      <c r="D96" s="91" t="s">
        <v>366</v>
      </c>
      <c r="E96" s="85" t="str">
        <f t="shared" si="2"/>
        <v>Ni</v>
      </c>
      <c r="F96" s="6">
        <v>34600.0</v>
      </c>
    </row>
    <row r="97">
      <c r="A97" s="85" t="s">
        <v>368</v>
      </c>
      <c r="B97" s="85" t="s">
        <v>329</v>
      </c>
      <c r="C97" s="88" t="s">
        <v>334</v>
      </c>
      <c r="D97" s="90" t="s">
        <v>42</v>
      </c>
      <c r="E97" s="85" t="str">
        <f t="shared" si="2"/>
        <v>IX</v>
      </c>
      <c r="F97" s="84">
        <v>71700.0</v>
      </c>
    </row>
    <row r="98">
      <c r="A98" s="82" t="s">
        <v>369</v>
      </c>
      <c r="B98" s="85" t="s">
        <v>329</v>
      </c>
      <c r="C98" s="87" t="s">
        <v>337</v>
      </c>
      <c r="D98" s="87" t="s">
        <v>370</v>
      </c>
      <c r="E98" s="85" t="str">
        <f t="shared" si="2"/>
        <v>GP</v>
      </c>
      <c r="F98" s="1">
        <v>26800.0</v>
      </c>
    </row>
    <row r="99">
      <c r="A99" s="82" t="s">
        <v>371</v>
      </c>
      <c r="B99" s="85" t="s">
        <v>329</v>
      </c>
      <c r="C99" s="87" t="s">
        <v>337</v>
      </c>
      <c r="D99" s="91" t="s">
        <v>372</v>
      </c>
      <c r="E99" s="85" t="str">
        <f t="shared" si="2"/>
        <v>GP</v>
      </c>
      <c r="F99" s="1">
        <v>26800.0</v>
      </c>
    </row>
    <row r="100">
      <c r="A100" s="85" t="s">
        <v>373</v>
      </c>
      <c r="B100" s="85" t="s">
        <v>329</v>
      </c>
      <c r="C100" s="88" t="s">
        <v>334</v>
      </c>
      <c r="D100" s="88" t="s">
        <v>374</v>
      </c>
      <c r="E100" s="85" t="str">
        <f t="shared" si="2"/>
        <v>IX</v>
      </c>
      <c r="F100" s="84">
        <v>71700.0</v>
      </c>
    </row>
    <row r="101">
      <c r="A101" s="85" t="s">
        <v>375</v>
      </c>
      <c r="B101" s="85" t="s">
        <v>329</v>
      </c>
      <c r="C101" s="87" t="s">
        <v>337</v>
      </c>
      <c r="D101" s="87" t="s">
        <v>376</v>
      </c>
      <c r="E101" s="85" t="str">
        <f t="shared" si="2"/>
        <v>GP</v>
      </c>
      <c r="F101" s="84">
        <v>26800.0</v>
      </c>
    </row>
    <row r="102">
      <c r="A102" s="89" t="s">
        <v>377</v>
      </c>
      <c r="B102" s="85" t="s">
        <v>329</v>
      </c>
      <c r="C102" s="87" t="s">
        <v>337</v>
      </c>
      <c r="D102" s="91" t="s">
        <v>378</v>
      </c>
      <c r="E102" s="85" t="str">
        <f t="shared" si="2"/>
        <v>GP</v>
      </c>
      <c r="F102" s="84">
        <v>26800.0</v>
      </c>
    </row>
    <row r="103">
      <c r="A103" s="85" t="s">
        <v>379</v>
      </c>
      <c r="B103" s="85" t="s">
        <v>329</v>
      </c>
      <c r="C103" s="88" t="s">
        <v>334</v>
      </c>
      <c r="D103" s="90" t="s">
        <v>41</v>
      </c>
      <c r="E103" s="85" t="str">
        <f t="shared" si="2"/>
        <v>IX</v>
      </c>
      <c r="F103" s="84">
        <v>71700.0</v>
      </c>
    </row>
    <row r="104">
      <c r="A104" s="82" t="s">
        <v>380</v>
      </c>
      <c r="B104" s="85" t="s">
        <v>329</v>
      </c>
      <c r="C104" s="87" t="s">
        <v>337</v>
      </c>
      <c r="D104" s="87" t="s">
        <v>381</v>
      </c>
      <c r="E104" s="85" t="str">
        <f t="shared" si="2"/>
        <v>GP</v>
      </c>
      <c r="F104" s="1">
        <v>26800.0</v>
      </c>
    </row>
    <row r="105">
      <c r="A105" s="82" t="s">
        <v>382</v>
      </c>
      <c r="B105" s="85" t="s">
        <v>329</v>
      </c>
      <c r="C105" s="87" t="s">
        <v>337</v>
      </c>
      <c r="D105" s="91" t="s">
        <v>383</v>
      </c>
      <c r="E105" s="85" t="str">
        <f t="shared" si="2"/>
        <v>GP</v>
      </c>
      <c r="F105" s="1">
        <v>26800.0</v>
      </c>
    </row>
    <row r="106">
      <c r="A106" s="85" t="s">
        <v>384</v>
      </c>
      <c r="B106" s="85" t="s">
        <v>329</v>
      </c>
      <c r="C106" s="88" t="s">
        <v>334</v>
      </c>
      <c r="D106" s="90" t="s">
        <v>40</v>
      </c>
      <c r="E106" s="85" t="str">
        <f t="shared" si="2"/>
        <v>IX</v>
      </c>
      <c r="F106" s="84">
        <v>71700.0</v>
      </c>
    </row>
    <row r="107">
      <c r="A107" s="85" t="s">
        <v>385</v>
      </c>
      <c r="B107" s="85" t="s">
        <v>329</v>
      </c>
      <c r="C107" s="87" t="s">
        <v>181</v>
      </c>
      <c r="D107" s="87" t="s">
        <v>386</v>
      </c>
      <c r="E107" s="85" t="str">
        <f t="shared" si="2"/>
        <v>IX</v>
      </c>
      <c r="F107" s="1">
        <v>149000.0</v>
      </c>
    </row>
    <row r="108">
      <c r="A108" s="82" t="s">
        <v>387</v>
      </c>
      <c r="B108" s="85" t="s">
        <v>329</v>
      </c>
      <c r="C108" s="88" t="s">
        <v>337</v>
      </c>
      <c r="D108" s="88" t="s">
        <v>388</v>
      </c>
      <c r="E108" s="85" t="str">
        <f t="shared" si="2"/>
        <v>GP</v>
      </c>
      <c r="F108" s="84">
        <v>26800.0</v>
      </c>
    </row>
    <row r="109">
      <c r="A109" s="82" t="s">
        <v>389</v>
      </c>
      <c r="B109" s="85" t="s">
        <v>329</v>
      </c>
      <c r="C109" s="88" t="s">
        <v>337</v>
      </c>
      <c r="D109" s="90" t="s">
        <v>390</v>
      </c>
      <c r="E109" s="85" t="str">
        <f t="shared" si="2"/>
        <v>GP</v>
      </c>
      <c r="F109" s="84">
        <v>26800.0</v>
      </c>
    </row>
    <row r="110">
      <c r="A110" s="85" t="s">
        <v>391</v>
      </c>
      <c r="B110" s="85" t="s">
        <v>329</v>
      </c>
      <c r="C110" s="87" t="s">
        <v>334</v>
      </c>
      <c r="D110" s="87" t="s">
        <v>392</v>
      </c>
      <c r="E110" s="85" t="str">
        <f t="shared" si="2"/>
        <v>IX</v>
      </c>
      <c r="F110" s="84">
        <v>71700.0</v>
      </c>
    </row>
    <row r="111">
      <c r="A111" s="82" t="s">
        <v>393</v>
      </c>
      <c r="B111" s="85" t="s">
        <v>329</v>
      </c>
      <c r="C111" s="87" t="s">
        <v>334</v>
      </c>
      <c r="D111" s="91" t="s">
        <v>394</v>
      </c>
      <c r="E111" s="85" t="str">
        <f t="shared" si="2"/>
        <v>IX</v>
      </c>
      <c r="F111" s="84">
        <v>71700.0</v>
      </c>
    </row>
    <row r="112">
      <c r="A112" s="85" t="s">
        <v>395</v>
      </c>
      <c r="B112" s="85" t="s">
        <v>329</v>
      </c>
      <c r="C112" s="88" t="s">
        <v>181</v>
      </c>
      <c r="D112" s="88" t="s">
        <v>396</v>
      </c>
      <c r="E112" s="85" t="str">
        <f t="shared" si="2"/>
        <v>IX</v>
      </c>
      <c r="F112" s="1">
        <v>149000.0</v>
      </c>
    </row>
    <row r="113">
      <c r="A113" s="85" t="s">
        <v>397</v>
      </c>
      <c r="B113" s="85" t="s">
        <v>329</v>
      </c>
      <c r="C113" s="87" t="s">
        <v>337</v>
      </c>
      <c r="D113" s="87" t="s">
        <v>398</v>
      </c>
      <c r="E113" s="85" t="str">
        <f t="shared" si="2"/>
        <v>GP</v>
      </c>
      <c r="F113" s="84">
        <v>26800.0</v>
      </c>
    </row>
    <row r="114">
      <c r="A114" s="85" t="s">
        <v>399</v>
      </c>
      <c r="B114" s="85" t="s">
        <v>329</v>
      </c>
      <c r="C114" s="88" t="s">
        <v>334</v>
      </c>
      <c r="D114" s="88" t="s">
        <v>400</v>
      </c>
      <c r="E114" s="85" t="str">
        <f t="shared" si="2"/>
        <v>IX</v>
      </c>
      <c r="F114" s="84">
        <v>71700.0</v>
      </c>
    </row>
    <row r="115">
      <c r="A115" s="89" t="s">
        <v>401</v>
      </c>
      <c r="B115" s="85" t="s">
        <v>329</v>
      </c>
      <c r="C115" s="88" t="s">
        <v>334</v>
      </c>
      <c r="D115" s="90" t="s">
        <v>402</v>
      </c>
      <c r="E115" s="85" t="str">
        <f t="shared" si="2"/>
        <v>IX</v>
      </c>
      <c r="F115" s="84">
        <v>71700.0</v>
      </c>
    </row>
    <row r="116">
      <c r="A116" s="85" t="s">
        <v>403</v>
      </c>
      <c r="B116" s="85" t="s">
        <v>329</v>
      </c>
      <c r="C116" s="87" t="s">
        <v>337</v>
      </c>
      <c r="D116" s="87" t="s">
        <v>404</v>
      </c>
      <c r="E116" s="85" t="str">
        <f t="shared" si="2"/>
        <v>GP</v>
      </c>
      <c r="F116" s="84">
        <v>26800.0</v>
      </c>
    </row>
    <row r="117">
      <c r="A117" s="85" t="s">
        <v>405</v>
      </c>
      <c r="B117" s="85" t="s">
        <v>329</v>
      </c>
      <c r="C117" s="88" t="s">
        <v>334</v>
      </c>
      <c r="D117" s="88" t="s">
        <v>406</v>
      </c>
      <c r="E117" s="85" t="str">
        <f t="shared" si="2"/>
        <v>IX</v>
      </c>
      <c r="F117" s="84">
        <v>71700.0</v>
      </c>
    </row>
    <row r="118">
      <c r="A118" s="89" t="s">
        <v>407</v>
      </c>
      <c r="B118" s="85" t="s">
        <v>329</v>
      </c>
      <c r="C118" s="88" t="s">
        <v>334</v>
      </c>
      <c r="D118" s="90" t="s">
        <v>408</v>
      </c>
      <c r="E118" s="85" t="str">
        <f t="shared" si="2"/>
        <v>IX</v>
      </c>
      <c r="F118" s="84">
        <v>71700.0</v>
      </c>
    </row>
    <row r="119">
      <c r="A119" s="82" t="s">
        <v>409</v>
      </c>
      <c r="B119" s="85" t="s">
        <v>329</v>
      </c>
      <c r="C119" s="87" t="s">
        <v>337</v>
      </c>
      <c r="D119" s="87" t="s">
        <v>410</v>
      </c>
      <c r="E119" s="85" t="str">
        <f t="shared" si="2"/>
        <v>GP</v>
      </c>
      <c r="F119" s="84">
        <v>26800.0</v>
      </c>
    </row>
    <row r="120">
      <c r="A120" s="82" t="s">
        <v>411</v>
      </c>
      <c r="B120" s="85" t="s">
        <v>329</v>
      </c>
      <c r="C120" s="87" t="s">
        <v>337</v>
      </c>
      <c r="D120" s="91" t="s">
        <v>412</v>
      </c>
      <c r="E120" s="85" t="str">
        <f t="shared" si="2"/>
        <v>GP</v>
      </c>
      <c r="F120" s="84">
        <v>26800.0</v>
      </c>
    </row>
    <row r="121">
      <c r="A121" s="85" t="s">
        <v>413</v>
      </c>
      <c r="B121" s="85" t="s">
        <v>329</v>
      </c>
      <c r="C121" s="88" t="s">
        <v>334</v>
      </c>
      <c r="D121" s="90" t="s">
        <v>39</v>
      </c>
      <c r="E121" s="85" t="str">
        <f t="shared" si="2"/>
        <v>IX</v>
      </c>
      <c r="F121" s="84">
        <v>71700.0</v>
      </c>
    </row>
    <row r="122">
      <c r="A122" s="85" t="s">
        <v>414</v>
      </c>
      <c r="B122" s="85" t="s">
        <v>329</v>
      </c>
      <c r="C122" s="87" t="s">
        <v>181</v>
      </c>
      <c r="D122" s="87" t="s">
        <v>415</v>
      </c>
      <c r="E122" s="85" t="str">
        <f t="shared" si="2"/>
        <v>IX</v>
      </c>
      <c r="F122" s="1">
        <v>149000.0</v>
      </c>
    </row>
    <row r="123">
      <c r="A123" s="82" t="s">
        <v>416</v>
      </c>
      <c r="B123" s="85" t="s">
        <v>329</v>
      </c>
      <c r="C123" s="88" t="s">
        <v>337</v>
      </c>
      <c r="D123" s="88" t="s">
        <v>417</v>
      </c>
      <c r="E123" s="85" t="str">
        <f t="shared" si="2"/>
        <v>GP</v>
      </c>
      <c r="F123" s="84">
        <v>26800.0</v>
      </c>
    </row>
    <row r="124">
      <c r="A124" s="82" t="s">
        <v>418</v>
      </c>
      <c r="B124" s="85" t="s">
        <v>329</v>
      </c>
      <c r="C124" s="88" t="s">
        <v>337</v>
      </c>
      <c r="D124" s="90" t="s">
        <v>419</v>
      </c>
      <c r="E124" s="85" t="str">
        <f t="shared" si="2"/>
        <v>GP</v>
      </c>
      <c r="F124" s="84">
        <v>26800.0</v>
      </c>
    </row>
    <row r="125">
      <c r="A125" s="85" t="s">
        <v>420</v>
      </c>
      <c r="B125" s="85" t="s">
        <v>329</v>
      </c>
      <c r="C125" s="87" t="s">
        <v>334</v>
      </c>
      <c r="D125" s="87" t="s">
        <v>38</v>
      </c>
      <c r="E125" s="85" t="str">
        <f t="shared" si="2"/>
        <v>IX</v>
      </c>
      <c r="F125" s="84">
        <v>71700.0</v>
      </c>
    </row>
    <row r="126">
      <c r="A126" s="85" t="s">
        <v>421</v>
      </c>
      <c r="B126" s="85" t="s">
        <v>329</v>
      </c>
      <c r="C126" s="88" t="s">
        <v>334</v>
      </c>
      <c r="D126" s="90" t="s">
        <v>37</v>
      </c>
      <c r="E126" s="85" t="str">
        <f t="shared" si="2"/>
        <v>IX</v>
      </c>
      <c r="F126" s="84">
        <v>71700.0</v>
      </c>
    </row>
    <row r="127">
      <c r="A127" s="85" t="s">
        <v>422</v>
      </c>
      <c r="B127" s="85" t="s">
        <v>329</v>
      </c>
      <c r="C127" s="87" t="s">
        <v>334</v>
      </c>
      <c r="D127" s="87" t="s">
        <v>423</v>
      </c>
      <c r="E127" s="85" t="str">
        <f t="shared" si="2"/>
        <v>IX</v>
      </c>
      <c r="F127" s="84">
        <v>71700.0</v>
      </c>
    </row>
    <row r="128">
      <c r="A128" s="85" t="s">
        <v>424</v>
      </c>
      <c r="B128" s="85" t="s">
        <v>329</v>
      </c>
      <c r="C128" s="88" t="s">
        <v>181</v>
      </c>
      <c r="D128" s="88" t="s">
        <v>425</v>
      </c>
      <c r="E128" s="85" t="str">
        <f t="shared" si="2"/>
        <v>IX</v>
      </c>
      <c r="F128" s="1">
        <v>149000.0</v>
      </c>
    </row>
    <row r="129">
      <c r="A129" s="85" t="s">
        <v>426</v>
      </c>
      <c r="B129" s="85" t="s">
        <v>329</v>
      </c>
      <c r="C129" s="87" t="s">
        <v>334</v>
      </c>
      <c r="D129" s="87" t="s">
        <v>427</v>
      </c>
      <c r="E129" s="85" t="str">
        <f t="shared" si="2"/>
        <v>IX</v>
      </c>
      <c r="F129" s="84">
        <v>71700.0</v>
      </c>
    </row>
    <row r="130">
      <c r="A130" s="85" t="s">
        <v>428</v>
      </c>
      <c r="B130" s="85" t="s">
        <v>329</v>
      </c>
      <c r="C130" s="88" t="s">
        <v>181</v>
      </c>
      <c r="D130" s="88" t="s">
        <v>429</v>
      </c>
      <c r="E130" s="85" t="str">
        <f t="shared" si="2"/>
        <v>IX</v>
      </c>
      <c r="F130" s="1">
        <v>150700.0</v>
      </c>
    </row>
    <row r="131">
      <c r="A131" s="85" t="s">
        <v>430</v>
      </c>
      <c r="B131" s="85" t="s">
        <v>329</v>
      </c>
      <c r="C131" s="87" t="s">
        <v>334</v>
      </c>
      <c r="D131" s="87" t="s">
        <v>431</v>
      </c>
      <c r="E131" s="85" t="str">
        <f t="shared" si="2"/>
        <v>IX</v>
      </c>
      <c r="F131" s="84">
        <v>71700.0</v>
      </c>
    </row>
    <row r="132">
      <c r="A132" s="85" t="s">
        <v>432</v>
      </c>
      <c r="B132" s="85" t="s">
        <v>329</v>
      </c>
      <c r="C132" s="88" t="s">
        <v>334</v>
      </c>
      <c r="D132" s="88" t="s">
        <v>433</v>
      </c>
      <c r="E132" s="85" t="str">
        <f t="shared" si="2"/>
        <v>IX</v>
      </c>
      <c r="F132" s="84">
        <v>71700.0</v>
      </c>
    </row>
    <row r="133">
      <c r="A133" s="85" t="s">
        <v>434</v>
      </c>
      <c r="B133" s="85" t="s">
        <v>329</v>
      </c>
      <c r="C133" s="87" t="s">
        <v>337</v>
      </c>
      <c r="D133" s="87" t="s">
        <v>435</v>
      </c>
      <c r="E133" s="85" t="str">
        <f t="shared" si="2"/>
        <v>GP</v>
      </c>
      <c r="F133" s="84">
        <v>26800.0</v>
      </c>
    </row>
    <row r="134">
      <c r="A134" s="85" t="s">
        <v>436</v>
      </c>
      <c r="B134" s="85" t="s">
        <v>329</v>
      </c>
      <c r="C134" s="88" t="s">
        <v>334</v>
      </c>
      <c r="D134" s="88" t="s">
        <v>437</v>
      </c>
      <c r="E134" s="85" t="str">
        <f t="shared" si="2"/>
        <v>IX</v>
      </c>
      <c r="F134" s="84">
        <v>71700.0</v>
      </c>
    </row>
    <row r="135">
      <c r="A135" s="83" t="s">
        <v>436</v>
      </c>
      <c r="B135" s="85" t="s">
        <v>329</v>
      </c>
      <c r="C135" s="88" t="s">
        <v>334</v>
      </c>
      <c r="D135" s="90" t="s">
        <v>438</v>
      </c>
      <c r="E135" s="85" t="str">
        <f t="shared" si="2"/>
        <v>IX</v>
      </c>
      <c r="F135" s="84">
        <v>71700.0</v>
      </c>
    </row>
    <row r="136">
      <c r="A136" s="85" t="s">
        <v>439</v>
      </c>
      <c r="B136" s="85" t="s">
        <v>329</v>
      </c>
      <c r="C136" s="87" t="s">
        <v>337</v>
      </c>
      <c r="D136" s="91" t="s">
        <v>46</v>
      </c>
      <c r="E136" s="85" t="str">
        <f t="shared" si="2"/>
        <v>GP</v>
      </c>
      <c r="F136" s="84">
        <v>26800.0</v>
      </c>
    </row>
    <row r="137">
      <c r="A137" s="85" t="s">
        <v>440</v>
      </c>
      <c r="B137" s="85" t="s">
        <v>329</v>
      </c>
      <c r="C137" s="88" t="s">
        <v>334</v>
      </c>
      <c r="D137" s="88" t="s">
        <v>441</v>
      </c>
      <c r="E137" s="85" t="str">
        <f t="shared" si="2"/>
        <v>IX</v>
      </c>
      <c r="F137" s="84">
        <v>71700.0</v>
      </c>
    </row>
    <row r="138">
      <c r="A138" s="83" t="s">
        <v>442</v>
      </c>
      <c r="B138" s="83" t="s">
        <v>329</v>
      </c>
      <c r="C138" s="83" t="s">
        <v>181</v>
      </c>
      <c r="D138" s="83" t="s">
        <v>443</v>
      </c>
      <c r="E138" s="83" t="str">
        <f t="shared" si="2"/>
        <v>IX</v>
      </c>
      <c r="F138" s="84">
        <v>150700.0</v>
      </c>
    </row>
    <row r="139">
      <c r="A139" s="85" t="s">
        <v>444</v>
      </c>
      <c r="B139" s="85" t="s">
        <v>329</v>
      </c>
      <c r="C139" s="88" t="s">
        <v>181</v>
      </c>
      <c r="D139" s="88" t="s">
        <v>445</v>
      </c>
      <c r="E139" s="85" t="str">
        <f t="shared" si="2"/>
        <v>IX</v>
      </c>
      <c r="F139" s="84">
        <v>150700.0</v>
      </c>
    </row>
    <row r="140">
      <c r="A140" s="85" t="s">
        <v>446</v>
      </c>
      <c r="B140" s="85" t="s">
        <v>329</v>
      </c>
      <c r="C140" s="87" t="s">
        <v>181</v>
      </c>
      <c r="D140" s="87" t="s">
        <v>447</v>
      </c>
      <c r="E140" s="85" t="str">
        <f t="shared" si="2"/>
        <v>IX</v>
      </c>
      <c r="F140" s="84">
        <v>150700.0</v>
      </c>
    </row>
    <row r="141">
      <c r="A141" s="83" t="s">
        <v>448</v>
      </c>
      <c r="B141" s="85" t="s">
        <v>329</v>
      </c>
      <c r="C141" s="88" t="s">
        <v>181</v>
      </c>
      <c r="D141" s="88" t="s">
        <v>449</v>
      </c>
      <c r="E141" s="85" t="str">
        <f t="shared" si="2"/>
        <v>IX</v>
      </c>
      <c r="F141" s="84">
        <v>183400.0</v>
      </c>
    </row>
    <row r="142">
      <c r="A142" s="85" t="s">
        <v>450</v>
      </c>
      <c r="B142" s="85" t="s">
        <v>329</v>
      </c>
      <c r="C142" s="87" t="s">
        <v>181</v>
      </c>
      <c r="D142" s="87" t="s">
        <v>451</v>
      </c>
      <c r="E142" s="85" t="str">
        <f t="shared" si="2"/>
        <v>IX</v>
      </c>
      <c r="F142" s="84">
        <v>189900.0</v>
      </c>
    </row>
    <row r="143">
      <c r="A143" s="85" t="s">
        <v>452</v>
      </c>
      <c r="B143" s="85" t="s">
        <v>329</v>
      </c>
      <c r="C143" s="88" t="s">
        <v>181</v>
      </c>
      <c r="D143" s="88" t="s">
        <v>453</v>
      </c>
      <c r="E143" s="85" t="str">
        <f t="shared" si="2"/>
        <v>IX</v>
      </c>
      <c r="F143" s="84">
        <v>189900.0</v>
      </c>
    </row>
    <row r="144">
      <c r="A144" s="85" t="s">
        <v>454</v>
      </c>
      <c r="B144" s="85" t="s">
        <v>329</v>
      </c>
      <c r="C144" s="87" t="s">
        <v>181</v>
      </c>
      <c r="D144" s="87" t="s">
        <v>455</v>
      </c>
      <c r="E144" s="85" t="str">
        <f t="shared" si="2"/>
        <v>IX</v>
      </c>
      <c r="F144" s="1">
        <v>178000.0</v>
      </c>
    </row>
    <row r="145">
      <c r="A145" s="82" t="s">
        <v>456</v>
      </c>
      <c r="B145" s="85" t="s">
        <v>329</v>
      </c>
      <c r="C145" s="87" t="s">
        <v>181</v>
      </c>
      <c r="D145" s="82" t="s">
        <v>80</v>
      </c>
      <c r="E145" s="85" t="str">
        <f t="shared" si="2"/>
        <v>IX</v>
      </c>
      <c r="F145" s="6">
        <v>189900.0</v>
      </c>
    </row>
    <row r="146">
      <c r="A146" s="82" t="s">
        <v>457</v>
      </c>
      <c r="B146" s="85" t="s">
        <v>329</v>
      </c>
      <c r="C146" s="87" t="s">
        <v>181</v>
      </c>
      <c r="D146" s="82" t="s">
        <v>81</v>
      </c>
      <c r="E146" s="85" t="str">
        <f t="shared" si="2"/>
        <v>IX</v>
      </c>
      <c r="F146" s="6">
        <v>189900.0</v>
      </c>
    </row>
    <row r="147">
      <c r="A147" s="83" t="s">
        <v>458</v>
      </c>
      <c r="B147" s="85" t="s">
        <v>329</v>
      </c>
      <c r="C147" s="88" t="s">
        <v>181</v>
      </c>
      <c r="D147" s="88" t="s">
        <v>459</v>
      </c>
      <c r="E147" s="85" t="str">
        <f t="shared" si="2"/>
        <v>IX</v>
      </c>
      <c r="F147" s="84">
        <v>179500.0</v>
      </c>
    </row>
    <row r="148">
      <c r="A148" s="85" t="s">
        <v>458</v>
      </c>
      <c r="B148" s="85" t="s">
        <v>329</v>
      </c>
      <c r="C148" s="87" t="s">
        <v>181</v>
      </c>
      <c r="D148" s="87" t="s">
        <v>460</v>
      </c>
      <c r="E148" s="85" t="str">
        <f t="shared" si="2"/>
        <v>IX</v>
      </c>
      <c r="F148" s="84">
        <v>179500.0</v>
      </c>
    </row>
    <row r="149">
      <c r="A149" s="85" t="s">
        <v>461</v>
      </c>
      <c r="B149" s="85" t="s">
        <v>329</v>
      </c>
      <c r="C149" s="88" t="s">
        <v>181</v>
      </c>
      <c r="D149" s="88" t="s">
        <v>462</v>
      </c>
      <c r="E149" s="85" t="str">
        <f t="shared" si="2"/>
        <v>IX</v>
      </c>
      <c r="F149" s="84">
        <v>189900.0</v>
      </c>
    </row>
    <row r="150">
      <c r="A150" s="85" t="s">
        <v>463</v>
      </c>
      <c r="B150" s="85" t="s">
        <v>329</v>
      </c>
      <c r="C150" s="87" t="s">
        <v>181</v>
      </c>
      <c r="D150" s="87" t="s">
        <v>464</v>
      </c>
      <c r="E150" s="85" t="str">
        <f t="shared" si="2"/>
        <v>IX</v>
      </c>
      <c r="F150" s="84">
        <v>179500.0</v>
      </c>
    </row>
    <row r="151">
      <c r="A151" s="85" t="s">
        <v>465</v>
      </c>
      <c r="B151" s="85" t="s">
        <v>329</v>
      </c>
      <c r="C151" s="88" t="s">
        <v>181</v>
      </c>
      <c r="D151" s="88" t="s">
        <v>466</v>
      </c>
      <c r="E151" s="85" t="str">
        <f t="shared" si="2"/>
        <v>IX</v>
      </c>
      <c r="F151" s="84">
        <v>150700.0</v>
      </c>
    </row>
    <row r="152">
      <c r="A152" s="85" t="s">
        <v>467</v>
      </c>
      <c r="B152" s="85" t="s">
        <v>329</v>
      </c>
      <c r="C152" s="87" t="s">
        <v>330</v>
      </c>
      <c r="D152" s="87" t="s">
        <v>468</v>
      </c>
      <c r="E152" s="85" t="str">
        <f t="shared" si="2"/>
        <v>IX</v>
      </c>
      <c r="F152" s="1">
        <v>539000.0</v>
      </c>
    </row>
    <row r="153">
      <c r="A153" s="85" t="s">
        <v>469</v>
      </c>
      <c r="B153" s="85" t="s">
        <v>329</v>
      </c>
      <c r="C153" s="88" t="s">
        <v>330</v>
      </c>
      <c r="D153" s="88" t="s">
        <v>470</v>
      </c>
      <c r="E153" s="85" t="str">
        <f t="shared" si="2"/>
        <v>IX</v>
      </c>
      <c r="F153" s="1">
        <v>390000.0</v>
      </c>
    </row>
    <row r="154">
      <c r="A154" s="85" t="s">
        <v>471</v>
      </c>
      <c r="B154" s="85" t="s">
        <v>329</v>
      </c>
      <c r="C154" s="87" t="s">
        <v>330</v>
      </c>
      <c r="D154" s="87" t="s">
        <v>472</v>
      </c>
      <c r="E154" s="85" t="str">
        <f t="shared" si="2"/>
        <v>IX</v>
      </c>
      <c r="F154" s="1">
        <v>390000.0</v>
      </c>
    </row>
    <row r="155">
      <c r="A155" s="85" t="s">
        <v>473</v>
      </c>
      <c r="B155" s="85" t="s">
        <v>329</v>
      </c>
      <c r="C155" s="88" t="s">
        <v>330</v>
      </c>
      <c r="D155" s="88" t="s">
        <v>474</v>
      </c>
      <c r="E155" s="85" t="str">
        <f t="shared" si="2"/>
        <v>IX</v>
      </c>
      <c r="F155" s="1">
        <v>390000.0</v>
      </c>
    </row>
    <row r="156">
      <c r="A156" s="85" t="s">
        <v>475</v>
      </c>
      <c r="B156" s="85" t="s">
        <v>329</v>
      </c>
      <c r="C156" s="87" t="s">
        <v>330</v>
      </c>
      <c r="D156" s="87" t="s">
        <v>476</v>
      </c>
      <c r="E156" s="85" t="str">
        <f t="shared" si="2"/>
        <v>IX</v>
      </c>
      <c r="F156" s="1">
        <v>403000.0</v>
      </c>
    </row>
    <row r="157">
      <c r="A157" s="85" t="s">
        <v>477</v>
      </c>
      <c r="B157" s="85" t="s">
        <v>329</v>
      </c>
      <c r="C157" s="88" t="s">
        <v>330</v>
      </c>
      <c r="D157" s="88" t="s">
        <v>478</v>
      </c>
      <c r="E157" s="85" t="str">
        <f t="shared" si="2"/>
        <v>IX</v>
      </c>
      <c r="F157" s="1">
        <v>583000.0</v>
      </c>
    </row>
    <row r="158">
      <c r="A158" s="85" t="s">
        <v>479</v>
      </c>
      <c r="B158" s="85" t="s">
        <v>329</v>
      </c>
      <c r="C158" s="87" t="s">
        <v>330</v>
      </c>
      <c r="D158" s="87" t="s">
        <v>480</v>
      </c>
      <c r="E158" s="85" t="str">
        <f t="shared" si="2"/>
        <v>IX</v>
      </c>
      <c r="F158" s="1">
        <v>372000.0</v>
      </c>
    </row>
    <row r="159">
      <c r="A159" s="85" t="s">
        <v>481</v>
      </c>
      <c r="B159" s="85" t="s">
        <v>329</v>
      </c>
      <c r="C159" s="88" t="s">
        <v>330</v>
      </c>
      <c r="D159" s="88" t="s">
        <v>482</v>
      </c>
      <c r="E159" s="85" t="str">
        <f t="shared" si="2"/>
        <v>IX</v>
      </c>
      <c r="F159" s="1">
        <v>372000.0</v>
      </c>
    </row>
    <row r="160">
      <c r="A160" s="85" t="s">
        <v>483</v>
      </c>
      <c r="B160" s="85" t="s">
        <v>329</v>
      </c>
      <c r="C160" s="87" t="s">
        <v>181</v>
      </c>
      <c r="D160" s="87" t="s">
        <v>484</v>
      </c>
      <c r="E160" s="85" t="str">
        <f t="shared" si="2"/>
        <v>IX</v>
      </c>
      <c r="F160" s="1">
        <v>150700.0</v>
      </c>
    </row>
    <row r="161">
      <c r="A161" s="85" t="s">
        <v>485</v>
      </c>
      <c r="B161" s="85" t="s">
        <v>329</v>
      </c>
      <c r="C161" s="88" t="s">
        <v>181</v>
      </c>
      <c r="D161" s="88" t="s">
        <v>486</v>
      </c>
      <c r="E161" s="85" t="str">
        <f t="shared" si="2"/>
        <v>IX</v>
      </c>
      <c r="F161" s="84">
        <v>161200.0</v>
      </c>
    </row>
    <row r="162">
      <c r="A162" s="85" t="s">
        <v>487</v>
      </c>
      <c r="B162" s="85" t="s">
        <v>329</v>
      </c>
      <c r="C162" s="87" t="s">
        <v>181</v>
      </c>
      <c r="D162" s="87" t="s">
        <v>488</v>
      </c>
      <c r="E162" s="85" t="str">
        <f t="shared" si="2"/>
        <v>IX</v>
      </c>
      <c r="F162" s="84">
        <v>150700.0</v>
      </c>
    </row>
    <row r="163">
      <c r="A163" s="85" t="s">
        <v>489</v>
      </c>
      <c r="B163" s="85" t="s">
        <v>329</v>
      </c>
      <c r="C163" s="88" t="s">
        <v>181</v>
      </c>
      <c r="D163" s="88" t="s">
        <v>490</v>
      </c>
      <c r="E163" s="85" t="str">
        <f t="shared" si="2"/>
        <v>IX</v>
      </c>
      <c r="F163" s="84">
        <v>150700.0</v>
      </c>
    </row>
    <row r="164">
      <c r="A164" s="85" t="s">
        <v>491</v>
      </c>
      <c r="B164" s="85" t="s">
        <v>329</v>
      </c>
      <c r="C164" s="87" t="s">
        <v>181</v>
      </c>
      <c r="D164" s="87" t="s">
        <v>492</v>
      </c>
      <c r="E164" s="85" t="str">
        <f t="shared" si="2"/>
        <v>IX</v>
      </c>
      <c r="F164" s="84">
        <v>161200.0</v>
      </c>
    </row>
    <row r="165">
      <c r="A165" s="89" t="s">
        <v>493</v>
      </c>
      <c r="B165" s="85" t="s">
        <v>329</v>
      </c>
      <c r="C165" s="87" t="s">
        <v>181</v>
      </c>
      <c r="D165" s="91" t="s">
        <v>494</v>
      </c>
      <c r="E165" s="85" t="str">
        <f t="shared" si="2"/>
        <v>IX</v>
      </c>
      <c r="F165" s="84">
        <v>161200.0</v>
      </c>
    </row>
    <row r="166">
      <c r="A166" s="85" t="s">
        <v>495</v>
      </c>
      <c r="B166" s="85" t="s">
        <v>329</v>
      </c>
      <c r="C166" s="88" t="s">
        <v>181</v>
      </c>
      <c r="D166" s="88" t="s">
        <v>496</v>
      </c>
      <c r="E166" s="85" t="str">
        <f t="shared" si="2"/>
        <v>IX</v>
      </c>
      <c r="F166" s="84">
        <v>150700.0</v>
      </c>
    </row>
    <row r="167">
      <c r="A167" s="85" t="s">
        <v>497</v>
      </c>
      <c r="B167" s="85" t="s">
        <v>329</v>
      </c>
      <c r="C167" s="87" t="s">
        <v>181</v>
      </c>
      <c r="D167" s="87" t="s">
        <v>498</v>
      </c>
      <c r="E167" s="85" t="str">
        <f t="shared" si="2"/>
        <v>IX</v>
      </c>
      <c r="F167" s="84">
        <v>150700.0</v>
      </c>
    </row>
    <row r="168">
      <c r="A168" s="85" t="s">
        <v>499</v>
      </c>
      <c r="B168" s="85" t="s">
        <v>329</v>
      </c>
      <c r="C168" s="88" t="s">
        <v>330</v>
      </c>
      <c r="D168" s="88" t="s">
        <v>500</v>
      </c>
      <c r="E168" s="85" t="str">
        <f t="shared" si="2"/>
        <v>IX</v>
      </c>
      <c r="F168" s="1">
        <v>583000.0</v>
      </c>
    </row>
    <row r="169">
      <c r="A169" s="85" t="s">
        <v>501</v>
      </c>
      <c r="B169" s="85" t="s">
        <v>329</v>
      </c>
      <c r="C169" s="87" t="s">
        <v>330</v>
      </c>
      <c r="D169" s="87" t="s">
        <v>502</v>
      </c>
      <c r="E169" s="85" t="str">
        <f t="shared" si="2"/>
        <v>IX</v>
      </c>
      <c r="F169" s="1">
        <v>285000.0</v>
      </c>
    </row>
    <row r="170">
      <c r="A170" s="125" t="s">
        <v>540</v>
      </c>
      <c r="B170" s="125" t="s">
        <v>72</v>
      </c>
      <c r="C170" s="125" t="s">
        <v>186</v>
      </c>
      <c r="D170" s="125" t="s">
        <v>541</v>
      </c>
      <c r="E170" s="125" t="str">
        <f t="shared" si="2"/>
        <v>Ni</v>
      </c>
      <c r="F170" s="84">
        <v>12500.0</v>
      </c>
    </row>
    <row r="171">
      <c r="A171" s="125" t="s">
        <v>558</v>
      </c>
      <c r="B171" s="125" t="s">
        <v>72</v>
      </c>
      <c r="C171" s="125" t="s">
        <v>186</v>
      </c>
      <c r="D171" s="125" t="s">
        <v>559</v>
      </c>
      <c r="E171" s="125" t="str">
        <f t="shared" si="2"/>
        <v>Ni</v>
      </c>
      <c r="F171" s="84">
        <v>12500.0</v>
      </c>
    </row>
    <row r="172">
      <c r="A172" s="95" t="s">
        <v>864</v>
      </c>
      <c r="B172" s="95" t="s">
        <v>865</v>
      </c>
      <c r="C172" s="98" t="s">
        <v>865</v>
      </c>
      <c r="D172" s="98" t="s">
        <v>866</v>
      </c>
      <c r="E172" s="95" t="str">
        <f t="shared" si="2"/>
        <v>NONE</v>
      </c>
    </row>
    <row r="173">
      <c r="A173" s="95" t="s">
        <v>867</v>
      </c>
      <c r="B173" s="95" t="s">
        <v>868</v>
      </c>
      <c r="C173" s="127" t="s">
        <v>865</v>
      </c>
      <c r="D173" s="127" t="s">
        <v>869</v>
      </c>
      <c r="E173" s="95" t="str">
        <f t="shared" si="2"/>
        <v>NONE</v>
      </c>
    </row>
    <row r="174">
      <c r="A174" s="95" t="s">
        <v>870</v>
      </c>
      <c r="B174" s="95" t="s">
        <v>868</v>
      </c>
      <c r="C174" s="98" t="s">
        <v>865</v>
      </c>
      <c r="D174" s="98" t="s">
        <v>871</v>
      </c>
      <c r="E174" s="95" t="str">
        <f t="shared" si="2"/>
        <v>NONE</v>
      </c>
    </row>
    <row r="175">
      <c r="A175" s="95" t="s">
        <v>872</v>
      </c>
      <c r="B175" s="95" t="s">
        <v>868</v>
      </c>
      <c r="C175" s="127" t="s">
        <v>865</v>
      </c>
      <c r="D175" s="127" t="s">
        <v>873</v>
      </c>
      <c r="E175" s="95" t="str">
        <f t="shared" si="2"/>
        <v>NONE</v>
      </c>
    </row>
    <row r="176">
      <c r="A176" s="95" t="s">
        <v>874</v>
      </c>
      <c r="B176" s="95" t="s">
        <v>868</v>
      </c>
      <c r="C176" s="98" t="s">
        <v>865</v>
      </c>
      <c r="D176" s="98" t="s">
        <v>875</v>
      </c>
      <c r="E176" s="95" t="str">
        <f t="shared" si="2"/>
        <v>NONE</v>
      </c>
    </row>
    <row r="177">
      <c r="A177" s="95" t="s">
        <v>876</v>
      </c>
      <c r="B177" s="95" t="s">
        <v>868</v>
      </c>
      <c r="C177" s="127" t="s">
        <v>865</v>
      </c>
      <c r="D177" s="127" t="s">
        <v>877</v>
      </c>
      <c r="E177" s="95" t="str">
        <f t="shared" si="2"/>
        <v>NONE</v>
      </c>
    </row>
    <row r="178">
      <c r="A178" s="95" t="s">
        <v>878</v>
      </c>
      <c r="B178" s="95" t="s">
        <v>868</v>
      </c>
      <c r="C178" s="98" t="s">
        <v>865</v>
      </c>
      <c r="D178" s="98" t="s">
        <v>879</v>
      </c>
      <c r="E178" s="95" t="str">
        <f t="shared" si="2"/>
        <v>NONE</v>
      </c>
    </row>
    <row r="179">
      <c r="A179" s="95" t="s">
        <v>880</v>
      </c>
      <c r="B179" s="95" t="s">
        <v>868</v>
      </c>
      <c r="C179" s="127" t="s">
        <v>865</v>
      </c>
      <c r="D179" s="127" t="s">
        <v>881</v>
      </c>
      <c r="E179" s="95" t="str">
        <f t="shared" si="2"/>
        <v>NONE</v>
      </c>
    </row>
    <row r="180">
      <c r="A180" s="95" t="s">
        <v>882</v>
      </c>
      <c r="B180" s="95" t="s">
        <v>868</v>
      </c>
      <c r="C180" s="98" t="s">
        <v>865</v>
      </c>
      <c r="D180" s="98" t="s">
        <v>883</v>
      </c>
      <c r="E180" s="95" t="str">
        <f t="shared" si="2"/>
        <v>NONE</v>
      </c>
    </row>
    <row r="181">
      <c r="A181" s="95" t="s">
        <v>884</v>
      </c>
      <c r="B181" s="95" t="s">
        <v>868</v>
      </c>
      <c r="C181" s="127" t="s">
        <v>865</v>
      </c>
      <c r="D181" s="127" t="s">
        <v>885</v>
      </c>
      <c r="E181" s="95" t="str">
        <f t="shared" si="2"/>
        <v>NONE</v>
      </c>
    </row>
    <row r="182">
      <c r="A182" s="95" t="s">
        <v>886</v>
      </c>
      <c r="B182" s="95" t="s">
        <v>868</v>
      </c>
      <c r="C182" s="98" t="s">
        <v>865</v>
      </c>
      <c r="D182" s="98" t="s">
        <v>887</v>
      </c>
      <c r="E182" s="95" t="str">
        <f t="shared" si="2"/>
        <v>NONE</v>
      </c>
    </row>
    <row r="183">
      <c r="A183" s="95" t="s">
        <v>888</v>
      </c>
      <c r="B183" s="95" t="s">
        <v>868</v>
      </c>
      <c r="C183" s="127" t="s">
        <v>865</v>
      </c>
      <c r="D183" s="127" t="s">
        <v>889</v>
      </c>
      <c r="E183" s="95" t="str">
        <f t="shared" si="2"/>
        <v>NONE</v>
      </c>
    </row>
    <row r="184">
      <c r="A184" s="95" t="s">
        <v>890</v>
      </c>
      <c r="B184" s="95" t="s">
        <v>868</v>
      </c>
      <c r="C184" s="98" t="s">
        <v>865</v>
      </c>
      <c r="D184" s="98" t="s">
        <v>891</v>
      </c>
      <c r="E184" s="95" t="str">
        <f t="shared" si="2"/>
        <v>NONE</v>
      </c>
    </row>
    <row r="185">
      <c r="A185" s="95" t="s">
        <v>892</v>
      </c>
      <c r="B185" s="95" t="s">
        <v>868</v>
      </c>
      <c r="C185" s="127" t="s">
        <v>865</v>
      </c>
      <c r="D185" s="127" t="s">
        <v>893</v>
      </c>
      <c r="E185" s="95" t="str">
        <f t="shared" si="2"/>
        <v>NONE</v>
      </c>
    </row>
    <row r="186">
      <c r="A186" s="95" t="s">
        <v>894</v>
      </c>
      <c r="B186" s="95" t="s">
        <v>868</v>
      </c>
      <c r="C186" s="98" t="s">
        <v>865</v>
      </c>
      <c r="D186" s="98" t="s">
        <v>895</v>
      </c>
      <c r="E186" s="95" t="str">
        <f t="shared" si="2"/>
        <v>NONE</v>
      </c>
    </row>
    <row r="187">
      <c r="A187" s="95" t="s">
        <v>896</v>
      </c>
      <c r="B187" s="95" t="s">
        <v>868</v>
      </c>
      <c r="C187" s="127" t="s">
        <v>865</v>
      </c>
      <c r="D187" s="127" t="s">
        <v>897</v>
      </c>
      <c r="E187" s="95" t="str">
        <f t="shared" si="2"/>
        <v>NONE</v>
      </c>
    </row>
    <row r="188">
      <c r="A188" s="95" t="s">
        <v>898</v>
      </c>
      <c r="B188" s="95" t="s">
        <v>868</v>
      </c>
      <c r="C188" s="98" t="s">
        <v>865</v>
      </c>
      <c r="D188" s="98" t="s">
        <v>899</v>
      </c>
      <c r="E188" s="95" t="str">
        <f t="shared" si="2"/>
        <v>NONE</v>
      </c>
    </row>
    <row r="189">
      <c r="A189" s="85" t="s">
        <v>900</v>
      </c>
      <c r="B189" s="95" t="s">
        <v>868</v>
      </c>
      <c r="C189" s="127" t="s">
        <v>865</v>
      </c>
      <c r="D189" s="127" t="s">
        <v>901</v>
      </c>
      <c r="E189" s="95" t="str">
        <f t="shared" si="2"/>
        <v>NONE</v>
      </c>
    </row>
    <row r="190">
      <c r="A190" s="101" t="s">
        <v>902</v>
      </c>
      <c r="B190" s="1" t="s">
        <v>903</v>
      </c>
      <c r="C190" s="1" t="s">
        <v>865</v>
      </c>
      <c r="D190" s="1" t="s">
        <v>904</v>
      </c>
      <c r="E190" s="89" t="s">
        <v>865</v>
      </c>
      <c r="F190" s="1">
        <v>141000.0</v>
      </c>
    </row>
    <row r="191">
      <c r="A191" s="101" t="s">
        <v>905</v>
      </c>
      <c r="B191" s="1" t="s">
        <v>903</v>
      </c>
      <c r="C191" s="1" t="s">
        <v>865</v>
      </c>
      <c r="D191" s="1" t="s">
        <v>906</v>
      </c>
      <c r="E191" s="89" t="s">
        <v>865</v>
      </c>
      <c r="F191" s="1">
        <v>117000.0</v>
      </c>
    </row>
  </sheetData>
  <drawing r:id="rId1"/>
</worksheet>
</file>